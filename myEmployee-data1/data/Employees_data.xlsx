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https://d.docs.live.net/ee54b3dc81b78170/Documents/"/>
    </mc:Choice>
  </mc:AlternateContent>
  <xr:revisionPtr revIDLastSave="7" documentId="11_592EE68BD10E0B5D7BE3C589592F6998762A384A" xr6:coauthVersionLast="47" xr6:coauthVersionMax="47" xr10:uidLastSave="{69C94B03-65BA-4ACC-91B5-197B6901C922}"/>
  <bookViews>
    <workbookView xWindow="-110" yWindow="-110" windowWidth="19420" windowHeight="10300" activeTab="2" xr2:uid="{00000000-000D-0000-FFFF-FFFF00000000}"/>
  </bookViews>
  <sheets>
    <sheet name="pivot-table" sheetId="2" r:id="rId1"/>
    <sheet name="data" sheetId="1" r:id="rId2"/>
    <sheet name="Dashboard" sheetId="3" r:id="rId3"/>
  </sheets>
  <definedNames>
    <definedName name="_xlnm._FilterDatabase" localSheetId="1" hidden="1">data!$A$1:$L$51</definedName>
    <definedName name="Slicer_age_bracket">#N/A</definedName>
    <definedName name="Slicer_Department">#N/A</definedName>
    <definedName name="Slicer_State">#N/A</definedName>
  </definedNames>
  <calcPr calcId="191029"/>
  <pivotCaches>
    <pivotCache cacheId="14" r:id="rId4"/>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2" i="1"/>
</calcChain>
</file>

<file path=xl/sharedStrings.xml><?xml version="1.0" encoding="utf-8"?>
<sst xmlns="http://schemas.openxmlformats.org/spreadsheetml/2006/main" count="516" uniqueCount="341">
  <si>
    <t>Department</t>
  </si>
  <si>
    <t>Average of Salary of an employee per department</t>
  </si>
  <si>
    <t>Admin</t>
  </si>
  <si>
    <t>Creative</t>
  </si>
  <si>
    <t>Finance</t>
  </si>
  <si>
    <t>Health</t>
  </si>
  <si>
    <t>HR</t>
  </si>
  <si>
    <t>IT</t>
  </si>
  <si>
    <t>Logistics</t>
  </si>
  <si>
    <t>Maintenance</t>
  </si>
  <si>
    <t>Marketing</t>
  </si>
  <si>
    <t>Operations</t>
  </si>
  <si>
    <t>Production</t>
  </si>
  <si>
    <t>Sales</t>
  </si>
  <si>
    <t>Security</t>
  </si>
  <si>
    <t>Support</t>
  </si>
  <si>
    <t>Grand Total</t>
  </si>
  <si>
    <t>age_bracket</t>
  </si>
  <si>
    <t>Average of Salary of employees by age group</t>
  </si>
  <si>
    <t>Old</t>
  </si>
  <si>
    <t>Teenager</t>
  </si>
  <si>
    <t>Youth</t>
  </si>
  <si>
    <t>JobTitle</t>
  </si>
  <si>
    <t>Sum of Salary</t>
  </si>
  <si>
    <t>Account Clerk</t>
  </si>
  <si>
    <t>Accountant</t>
  </si>
  <si>
    <t>Auditor</t>
  </si>
  <si>
    <t>Business Analyst</t>
  </si>
  <si>
    <t>Cashier</t>
  </si>
  <si>
    <t>Caterer</t>
  </si>
  <si>
    <t>Cleaner</t>
  </si>
  <si>
    <t>Content Writer</t>
  </si>
  <si>
    <t>Customer Success</t>
  </si>
  <si>
    <t>Customer Support</t>
  </si>
  <si>
    <t>Data Analyst</t>
  </si>
  <si>
    <t>Delivery Rider</t>
  </si>
  <si>
    <t>Driver</t>
  </si>
  <si>
    <t>Electrician</t>
  </si>
  <si>
    <t>Forklift Operator</t>
  </si>
  <si>
    <t>Frontend Developer</t>
  </si>
  <si>
    <t>Graphic Designer</t>
  </si>
  <si>
    <t>HR Assistant</t>
  </si>
  <si>
    <t>HR Manager</t>
  </si>
  <si>
    <t>HR Officer</t>
  </si>
  <si>
    <t>Inventory Officer</t>
  </si>
  <si>
    <t>Machine Operator</t>
  </si>
  <si>
    <t>Makeup Artist</t>
  </si>
  <si>
    <t>Marketing Executive</t>
  </si>
  <si>
    <t>Mechanic</t>
  </si>
  <si>
    <t>Network Technician</t>
  </si>
  <si>
    <t>Nurse</t>
  </si>
  <si>
    <t>Office Assistant</t>
  </si>
  <si>
    <t>Pharmacist</t>
  </si>
  <si>
    <t>Photographer</t>
  </si>
  <si>
    <t>Procurement Officer</t>
  </si>
  <si>
    <t>Project Manager</t>
  </si>
  <si>
    <t>Quality Control</t>
  </si>
  <si>
    <t>Receptionist</t>
  </si>
  <si>
    <t>Sales Manager</t>
  </si>
  <si>
    <t>Sales Rep</t>
  </si>
  <si>
    <t>Seamstress</t>
  </si>
  <si>
    <t>Secretary</t>
  </si>
  <si>
    <t>Security Officer</t>
  </si>
  <si>
    <t>Security Supervisor</t>
  </si>
  <si>
    <t>Social Media Manager</t>
  </si>
  <si>
    <t>Software Engineer</t>
  </si>
  <si>
    <t>Store Keeper</t>
  </si>
  <si>
    <t>System Administrator</t>
  </si>
  <si>
    <t>Tailor</t>
  </si>
  <si>
    <t>Truck Driver</t>
  </si>
  <si>
    <t>UI/UX Designer</t>
  </si>
  <si>
    <t>Warehouse Officer</t>
  </si>
  <si>
    <t>(blank)</t>
  </si>
  <si>
    <t>State</t>
  </si>
  <si>
    <t>Total Salary of employees by State</t>
  </si>
  <si>
    <t>Abia</t>
  </si>
  <si>
    <t>Akwa Ibom</t>
  </si>
  <si>
    <t>Anambra</t>
  </si>
  <si>
    <t>Bauchi</t>
  </si>
  <si>
    <t>Cross River</t>
  </si>
  <si>
    <t>Delta</t>
  </si>
  <si>
    <t>Edo</t>
  </si>
  <si>
    <t>Ekiti</t>
  </si>
  <si>
    <t>Enugu</t>
  </si>
  <si>
    <t>FCT</t>
  </si>
  <si>
    <t>Imo</t>
  </si>
  <si>
    <t>Kaduna</t>
  </si>
  <si>
    <t>Kano</t>
  </si>
  <si>
    <t>Katsina</t>
  </si>
  <si>
    <t>Kebbi</t>
  </si>
  <si>
    <t>Kwara</t>
  </si>
  <si>
    <t>Lagos</t>
  </si>
  <si>
    <t>Niger</t>
  </si>
  <si>
    <t>Ogun</t>
  </si>
  <si>
    <t>Ondo</t>
  </si>
  <si>
    <t>Osun</t>
  </si>
  <si>
    <t>Oyo</t>
  </si>
  <si>
    <t>Plateau</t>
  </si>
  <si>
    <t>Sokoto</t>
  </si>
  <si>
    <t>ID</t>
  </si>
  <si>
    <t>FirstName</t>
  </si>
  <si>
    <t>LastName</t>
  </si>
  <si>
    <t>Email</t>
  </si>
  <si>
    <t>Salary</t>
  </si>
  <si>
    <t>Age</t>
  </si>
  <si>
    <t>City</t>
  </si>
  <si>
    <t>StartDate</t>
  </si>
  <si>
    <t>EMP001</t>
  </si>
  <si>
    <t>John</t>
  </si>
  <si>
    <t>Okafor</t>
  </si>
  <si>
    <t>john.okafor@company.com</t>
  </si>
  <si>
    <t>Ikeja</t>
  </si>
  <si>
    <t>EMP002</t>
  </si>
  <si>
    <t>Aisha</t>
  </si>
  <si>
    <t>Bello</t>
  </si>
  <si>
    <t>aisha.bello@company.com</t>
  </si>
  <si>
    <t>Nasarawa</t>
  </si>
  <si>
    <t>EMP003</t>
  </si>
  <si>
    <t>Chinedu</t>
  </si>
  <si>
    <t>Eze</t>
  </si>
  <si>
    <t>chinedu.eze@company.com</t>
  </si>
  <si>
    <t>Umuahia</t>
  </si>
  <si>
    <t>EMP004</t>
  </si>
  <si>
    <t>Fatima</t>
  </si>
  <si>
    <t>Abdul</t>
  </si>
  <si>
    <t>fatima.abdul@company.com</t>
  </si>
  <si>
    <t>Zaria</t>
  </si>
  <si>
    <t>EMP005</t>
  </si>
  <si>
    <t>David</t>
  </si>
  <si>
    <t>Adegoke</t>
  </si>
  <si>
    <t>david.adegoke@company.com</t>
  </si>
  <si>
    <t>Ibadan</t>
  </si>
  <si>
    <t>EMP006</t>
  </si>
  <si>
    <t>Blessing</t>
  </si>
  <si>
    <t>Nwoye</t>
  </si>
  <si>
    <t>blessing.nwoye@company.com</t>
  </si>
  <si>
    <t>Awka</t>
  </si>
  <si>
    <t>EMP007</t>
  </si>
  <si>
    <t>Michael</t>
  </si>
  <si>
    <t>James</t>
  </si>
  <si>
    <t>michael.james@company.com</t>
  </si>
  <si>
    <t>Lekki</t>
  </si>
  <si>
    <t>EMP008</t>
  </si>
  <si>
    <t>Zainab</t>
  </si>
  <si>
    <t>Musa</t>
  </si>
  <si>
    <t>zainab.musa@company.com</t>
  </si>
  <si>
    <t>Funtua</t>
  </si>
  <si>
    <t>EMP009</t>
  </si>
  <si>
    <t>Samuel</t>
  </si>
  <si>
    <t>Ajayi</t>
  </si>
  <si>
    <t>samuel.ajayi@company.com</t>
  </si>
  <si>
    <t>Akure</t>
  </si>
  <si>
    <t>EMP010</t>
  </si>
  <si>
    <t>Grace</t>
  </si>
  <si>
    <t>Obi</t>
  </si>
  <si>
    <t>grace.obi@company.com</t>
  </si>
  <si>
    <t>Owerri</t>
  </si>
  <si>
    <t>EMP011</t>
  </si>
  <si>
    <t>Ibrahim</t>
  </si>
  <si>
    <t>Sadiq</t>
  </si>
  <si>
    <t>ibrahim.sadiq@company.com</t>
  </si>
  <si>
    <t>Minna</t>
  </si>
  <si>
    <t>EMP012</t>
  </si>
  <si>
    <t>Mary</t>
  </si>
  <si>
    <t>Johnson</t>
  </si>
  <si>
    <t>mary.johnson@company.com</t>
  </si>
  <si>
    <t>Surulere</t>
  </si>
  <si>
    <t>EMP013</t>
  </si>
  <si>
    <t>Peter</t>
  </si>
  <si>
    <t>Balogun</t>
  </si>
  <si>
    <t>peter.balogun@company.com</t>
  </si>
  <si>
    <t>Abeokuta</t>
  </si>
  <si>
    <t>EMP014</t>
  </si>
  <si>
    <t>Esther</t>
  </si>
  <si>
    <t>Alabi</t>
  </si>
  <si>
    <t>esther.alabi@company.com</t>
  </si>
  <si>
    <t>Osogbo</t>
  </si>
  <si>
    <t>EMP015</t>
  </si>
  <si>
    <t>Usman</t>
  </si>
  <si>
    <t>Abubakar</t>
  </si>
  <si>
    <t>usman.abubakar@company.com</t>
  </si>
  <si>
    <t>Kafanchan</t>
  </si>
  <si>
    <t>EMP016</t>
  </si>
  <si>
    <t>Ruth</t>
  </si>
  <si>
    <t>Chukwu</t>
  </si>
  <si>
    <t>ruth.chukwu@company.com</t>
  </si>
  <si>
    <t>Nsukka</t>
  </si>
  <si>
    <t>EMP017</t>
  </si>
  <si>
    <t>Yusuf</t>
  </si>
  <si>
    <t>Lawal</t>
  </si>
  <si>
    <t>yusuf.lawal@company.com</t>
  </si>
  <si>
    <t>Ilorin</t>
  </si>
  <si>
    <t>EMP018</t>
  </si>
  <si>
    <t>Hauwa</t>
  </si>
  <si>
    <t>Sule</t>
  </si>
  <si>
    <t>hauwa.sule@company.com</t>
  </si>
  <si>
    <t>EMP019</t>
  </si>
  <si>
    <t>Kelvin</t>
  </si>
  <si>
    <t>Uche</t>
  </si>
  <si>
    <t>kelvin.uche@company.com</t>
  </si>
  <si>
    <t>Asaba</t>
  </si>
  <si>
    <t>EMP020</t>
  </si>
  <si>
    <t>Amaka</t>
  </si>
  <si>
    <t>Nwaogwugwu</t>
  </si>
  <si>
    <t>amaka.nwaogwugwu@company.com</t>
  </si>
  <si>
    <t>Orlu</t>
  </si>
  <si>
    <t>EMP021</t>
  </si>
  <si>
    <t>Tunde</t>
  </si>
  <si>
    <t>Olawale</t>
  </si>
  <si>
    <t>tunde.olawale@company.com</t>
  </si>
  <si>
    <t>Yaba</t>
  </si>
  <si>
    <t>EMP022</t>
  </si>
  <si>
    <t>Binta</t>
  </si>
  <si>
    <t>Shehu</t>
  </si>
  <si>
    <t>binta.shehu@company.com</t>
  </si>
  <si>
    <t>Dala</t>
  </si>
  <si>
    <t>EMP023</t>
  </si>
  <si>
    <t>Emeka</t>
  </si>
  <si>
    <t>Okeke</t>
  </si>
  <si>
    <t>emeka.okeke@company.com</t>
  </si>
  <si>
    <t>Nnewi</t>
  </si>
  <si>
    <t>EMP024</t>
  </si>
  <si>
    <t>Lilian</t>
  </si>
  <si>
    <t>lilian.eze@company.com</t>
  </si>
  <si>
    <t>EMP025</t>
  </si>
  <si>
    <t>Abdullahi</t>
  </si>
  <si>
    <t>sadiq.abdullahi@company.com</t>
  </si>
  <si>
    <t>EMP026</t>
  </si>
  <si>
    <t>Bose</t>
  </si>
  <si>
    <t>Akin</t>
  </si>
  <si>
    <t>bose.akin@company.com</t>
  </si>
  <si>
    <t>Sagamu</t>
  </si>
  <si>
    <t>EMP027</t>
  </si>
  <si>
    <t>Garba</t>
  </si>
  <si>
    <t>musa.garba@company.com</t>
  </si>
  <si>
    <t>EMP028</t>
  </si>
  <si>
    <t>Jessica</t>
  </si>
  <si>
    <t>Taylor</t>
  </si>
  <si>
    <t>jessica.taylor@company.com</t>
  </si>
  <si>
    <t>Victoria Island</t>
  </si>
  <si>
    <t>EMP029</t>
  </si>
  <si>
    <t>Hassan</t>
  </si>
  <si>
    <t>Aliyu</t>
  </si>
  <si>
    <t>hassan.aliyu@company.com</t>
  </si>
  <si>
    <t>EMP030</t>
  </si>
  <si>
    <t>Praise</t>
  </si>
  <si>
    <t>Okoro</t>
  </si>
  <si>
    <t>praise.okoro@company.com</t>
  </si>
  <si>
    <t>EMP031</t>
  </si>
  <si>
    <t>Daniel</t>
  </si>
  <si>
    <t>Smith</t>
  </si>
  <si>
    <t>daniel.smith@company.com</t>
  </si>
  <si>
    <t>Abuja</t>
  </si>
  <si>
    <t>EMP032</t>
  </si>
  <si>
    <t>Sophia</t>
  </si>
  <si>
    <t>Brown</t>
  </si>
  <si>
    <t>sophia.brown@company.com</t>
  </si>
  <si>
    <t>Agege</t>
  </si>
  <si>
    <t>EMP033</t>
  </si>
  <si>
    <t>Rahman</t>
  </si>
  <si>
    <t>abdul.rahman@company.com</t>
  </si>
  <si>
    <t>EMP034</t>
  </si>
  <si>
    <t>Henry</t>
  </si>
  <si>
    <t>Ojo</t>
  </si>
  <si>
    <t>henry.ojo@company.com</t>
  </si>
  <si>
    <t>Ado-Ekiti</t>
  </si>
  <si>
    <t>EMP035</t>
  </si>
  <si>
    <t>Fatimah</t>
  </si>
  <si>
    <t>Yunus</t>
  </si>
  <si>
    <t>fatimah.yunus@company.com</t>
  </si>
  <si>
    <t>Offa</t>
  </si>
  <si>
    <t>EMP036</t>
  </si>
  <si>
    <t>Godwin</t>
  </si>
  <si>
    <t>Esosa</t>
  </si>
  <si>
    <t>godwin.esosa@company.com</t>
  </si>
  <si>
    <t>Benin City</t>
  </si>
  <si>
    <t>EMP037</t>
  </si>
  <si>
    <t>Mercy</t>
  </si>
  <si>
    <t>Ade</t>
  </si>
  <si>
    <t>mery.ade@company.com</t>
  </si>
  <si>
    <t>Ogbomosho</t>
  </si>
  <si>
    <t>EMP038</t>
  </si>
  <si>
    <t>Sadiya</t>
  </si>
  <si>
    <t>Mohammed</t>
  </si>
  <si>
    <t>sadiya.mohammed@company.com</t>
  </si>
  <si>
    <t>EMP039</t>
  </si>
  <si>
    <t>Stephen</t>
  </si>
  <si>
    <t>King</t>
  </si>
  <si>
    <t>stephen.king@company.com</t>
  </si>
  <si>
    <t>Ota</t>
  </si>
  <si>
    <t>EMP040</t>
  </si>
  <si>
    <t>Effiong</t>
  </si>
  <si>
    <t>blessing.effiong@company.com</t>
  </si>
  <si>
    <t>Calabar</t>
  </si>
  <si>
    <t>EMP041</t>
  </si>
  <si>
    <t>Sani</t>
  </si>
  <si>
    <t>aliyu.sani@company.com</t>
  </si>
  <si>
    <t>Daura</t>
  </si>
  <si>
    <t>EMP042</t>
  </si>
  <si>
    <t>Ngozi</t>
  </si>
  <si>
    <t>Okorie</t>
  </si>
  <si>
    <t>ngozi.okorie@company.com</t>
  </si>
  <si>
    <t>Aba</t>
  </si>
  <si>
    <t>EMP043</t>
  </si>
  <si>
    <t>Ismaila</t>
  </si>
  <si>
    <t>Danladi</t>
  </si>
  <si>
    <t>ismaila.danladi@company.com</t>
  </si>
  <si>
    <t>Jos</t>
  </si>
  <si>
    <t>EMP044</t>
  </si>
  <si>
    <t>Rachel</t>
  </si>
  <si>
    <t>Green</t>
  </si>
  <si>
    <t>rachel.green@company.com</t>
  </si>
  <si>
    <t>EMP045</t>
  </si>
  <si>
    <t>Ahmed</t>
  </si>
  <si>
    <t>Suleiman</t>
  </si>
  <si>
    <t>ahmed.suleiman@company.com</t>
  </si>
  <si>
    <t>EMP046</t>
  </si>
  <si>
    <t>Peace</t>
  </si>
  <si>
    <t>Udo</t>
  </si>
  <si>
    <t>peace.udo@company.com</t>
  </si>
  <si>
    <t>Uyo</t>
  </si>
  <si>
    <t>EMP047</t>
  </si>
  <si>
    <t>Kenny</t>
  </si>
  <si>
    <t>Rogers</t>
  </si>
  <si>
    <t>kenny.rogers@company.com</t>
  </si>
  <si>
    <t>Ajah</t>
  </si>
  <si>
    <t>EMP048</t>
  </si>
  <si>
    <t>Halima</t>
  </si>
  <si>
    <t>halima.yusuf@company.com</t>
  </si>
  <si>
    <t>Birnin Kebbi</t>
  </si>
  <si>
    <t>EMP049</t>
  </si>
  <si>
    <t>Dele</t>
  </si>
  <si>
    <t>Oseni</t>
  </si>
  <si>
    <t>dele.oseni@company.com</t>
  </si>
  <si>
    <t>Ijebu Ode</t>
  </si>
  <si>
    <t>EMP050</t>
  </si>
  <si>
    <t>Temitope</t>
  </si>
  <si>
    <t>Ajibola</t>
  </si>
  <si>
    <t>temitope.ajibola@company.com</t>
  </si>
  <si>
    <t>Department and State Are the Biggest Drivers of Employee Pay</t>
  </si>
  <si>
    <t>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</si>
</sst>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_ "/>
    <numFmt numFmtId="168" formatCode="dd/mm/yyyy;@"/>
  </numFmts>
  <fonts count="2">
    <font>
      <sz val="11"/>
      <color theme="1"/>
      <name val="Calibri"/>
      <charset val="134"/>
      <scheme val="minor"/>
    </font>
    <font>
      <b/>
      <sz val="24"/>
      <color theme="0"/>
      <name val="Agency FB"/>
      <family val="2"/>
    </font>
  </fonts>
  <fills count="4">
    <fill>
      <patternFill patternType="none"/>
    </fill>
    <fill>
      <patternFill patternType="gray125"/>
    </fill>
    <fill>
      <patternFill patternType="solid">
        <fgColor theme="1" tint="0.34998626667073579"/>
        <bgColor indexed="64"/>
      </patternFill>
    </fill>
    <fill>
      <patternFill patternType="solid">
        <fgColor theme="1" tint="0.34998626667073579"/>
        <bgColor indexed="64"/>
      </patternFill>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0" fillId="3" borderId="0" xfId="0" applyFill="1">
      <alignment vertical="center"/>
    </xf>
    <xf numFmtId="168" fontId="0" fillId="0" borderId="0" xfId="0" applyNumberFormat="1">
      <alignment vertical="center"/>
    </xf>
    <xf numFmtId="14" fontId="0" fillId="0" borderId="0" xfId="0" applyNumberFormat="1">
      <alignment vertical="center"/>
    </xf>
    <xf numFmtId="164" fontId="0" fillId="0" borderId="0" xfId="0" applyNumberFormat="1">
      <alignment vertical="center"/>
    </xf>
    <xf numFmtId="0" fontId="0" fillId="2" borderId="0" xfId="0" applyFill="1" applyAlignment="1">
      <alignment horizontal="center" vertical="center"/>
    </xf>
    <xf numFmtId="0" fontId="1" fillId="2" borderId="0" xfId="0" applyFont="1" applyFill="1" applyAlignment="1">
      <alignment horizontal="center" vertical="center"/>
    </xf>
    <xf numFmtId="0" fontId="0" fillId="0" borderId="0" xfId="0" pivotButton="1">
      <alignment vertical="center"/>
    </xf>
    <xf numFmtId="0" fontId="0" fillId="0" borderId="0" xfId="0" applyNumberFormat="1">
      <alignment vertical="center"/>
    </xf>
  </cellXfs>
  <cellStyles count="1">
    <cellStyle name="Normal" xfId="0" builtinId="0"/>
  </cellStyles>
  <dxfs count="226">
    <dxf>
      <numFmt numFmtId="170" formatCode="0.0000_ "/>
    </dxf>
    <dxf>
      <numFmt numFmtId="171" formatCode="0.000_ "/>
    </dxf>
    <dxf>
      <numFmt numFmtId="172" formatCode="0.00_ "/>
    </dxf>
    <dxf>
      <numFmt numFmtId="173" formatCode="0.0_ "/>
    </dxf>
    <dxf>
      <numFmt numFmtId="164" formatCode="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70" formatCode="0.0000_ "/>
    </dxf>
    <dxf>
      <numFmt numFmtId="171" formatCode="0.000_ "/>
    </dxf>
    <dxf>
      <numFmt numFmtId="172" formatCode="0.00_ "/>
    </dxf>
    <dxf>
      <numFmt numFmtId="173" formatCode="0.0_ "/>
    </dxf>
    <dxf>
      <numFmt numFmtId="164" formatCode="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64" formatCode="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3" formatCode="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2" formatCode="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1" formatCode="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70" formatCode="0.0000_ "/>
    </dxf>
    <dxf>
      <numFmt numFmtId="164" formatCode="0_ "/>
    </dxf>
    <dxf>
      <numFmt numFmtId="173" formatCode="0.0_ "/>
    </dxf>
    <dxf>
      <numFmt numFmtId="172" formatCode="0.00_ "/>
    </dxf>
    <dxf>
      <numFmt numFmtId="171" formatCode="0.000_ "/>
    </dxf>
    <dxf>
      <numFmt numFmtId="170" formatCode="0.0000_ "/>
    </dxf>
    <dxf>
      <fill>
        <patternFill patternType="solid">
          <bgColor theme="1" tint="0.34998626667073579"/>
        </patternFill>
      </fill>
      <border>
        <left/>
        <right/>
        <top/>
        <bottom/>
        <vertical/>
        <horizontal/>
      </border>
    </dxf>
  </dxfs>
  <tableStyles count="1" defaultTableStyle="TableStyleMedium2" defaultPivotStyle="PivotStyleLight16">
    <tableStyle name="Slicer Style 1" pivot="0" table="0" count="1" xr9:uid="{00000000-0011-0000-FFFF-FFFF00000000}">
      <tableStyleElement type="headerRow" dxfId="225"/>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[Employees_data.xlsx]pivot-table!PivotTable1</c:name>
    <c:fmtId val="0"/>
  </c:pivotSource>
  <c:chart>
    <c:title>
      <c:overlay val="0"/>
      <c:spPr>
        <a:noFill/>
        <a:ln>
          <a:noFill/>
        </a:ln>
        <a:effectLst/>
      </c:spPr>
      <c:txPr>
        <a:bodyPr rot="0" spcFirstLastPara="1" vertOverflow="ellipsis" vert="horz" wrap="square" anchor="ctr" anchorCtr="1"/>
        <a:lstStyle/>
        <a:p>
          <a:pPr>
            <a:defRPr lang="en-US"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'pivot-table'!$A$4:$A$18</c:f>
              <c:strCache>
                <c:ptCount val="14"/>
                <c:pt idx="0">
                  <c:v>Admin</c:v>
                </c:pt>
                <c:pt idx="1">
                  <c:v>Creative</c:v>
                </c:pt>
                <c:pt idx="2">
                  <c:v>Finance</c:v>
                </c:pt>
                <c:pt idx="3">
                  <c:v>Health</c:v>
                </c:pt>
                <c:pt idx="4">
                  <c:v>HR</c:v>
                </c:pt>
                <c:pt idx="5">
                  <c:v>IT</c:v>
                </c:pt>
                <c:pt idx="6">
                  <c:v>Logistics</c:v>
                </c:pt>
                <c:pt idx="7">
                  <c:v>Maintenance</c:v>
                </c:pt>
                <c:pt idx="8">
                  <c:v>Marketing</c:v>
                </c:pt>
                <c:pt idx="9">
                  <c:v>Operations</c:v>
                </c:pt>
                <c:pt idx="10">
                  <c:v>Production</c:v>
                </c:pt>
                <c:pt idx="11">
                  <c:v>Sales</c:v>
                </c:pt>
                <c:pt idx="12">
                  <c:v>Security</c:v>
                </c:pt>
                <c:pt idx="13">
                  <c:v>Support</c:v>
                </c:pt>
              </c:strCache>
            </c:strRef>
          </c:cat>
          <c:val>
            <c:numRef>
              <c:f>'pivot-table'!$B$4:$B$18</c:f>
              <c:numCache>
                <c:formatCode>0_ </c:formatCode>
                <c:ptCount val="14"/>
                <c:pt idx="0">
                  <c:v>51666.666666666664</c:v>
                </c:pt>
                <c:pt idx="1">
                  <c:v>80250</c:v>
                </c:pt>
                <c:pt idx="2">
                  <c:v>78500</c:v>
                </c:pt>
                <c:pt idx="3">
                  <c:v>132500</c:v>
                </c:pt>
                <c:pt idx="4">
                  <c:v>95000</c:v>
                </c:pt>
                <c:pt idx="5">
                  <c:v>108333.33333333333</c:v>
                </c:pt>
                <c:pt idx="6">
                  <c:v>66000</c:v>
                </c:pt>
                <c:pt idx="7">
                  <c:v>61666.666666666664</c:v>
                </c:pt>
                <c:pt idx="8">
                  <c:v>76666.666666666672</c:v>
                </c:pt>
                <c:pt idx="9">
                  <c:v>122500</c:v>
                </c:pt>
                <c:pt idx="10">
                  <c:v>57500</c:v>
                </c:pt>
                <c:pt idx="11">
                  <c:v>100000</c:v>
                </c:pt>
                <c:pt idx="12">
                  <c:v>70000</c:v>
                </c:pt>
                <c:pt idx="13">
                  <c:v>56666.666666666664</c:v>
                </c:pt>
              </c:numCache>
            </c:numRef>
          </c:val>
          <c:extLst>
            <c:ext xmlns:c16="http://schemas.microsoft.com/office/drawing/2014/chart" uri="{C3380CC4-5D6E-409C-BE32-E72D297353CC}">
              <c16:uniqueId val="{00000000-A2ED-4077-901F-90B4595A01DC}"/>
            </c:ext>
          </c:extLst>
        </c:ser>
        <c:dLbls>
          <c:showLegendKey val="0"/>
          <c:showVal val="0"/>
          <c:showCatName val="0"/>
          <c:showSerName val="0"/>
          <c:showPercent val="0"/>
          <c:showBubbleSize val="0"/>
        </c:dLbls>
        <c:gapWidth val="315"/>
        <c:overlap val="-40"/>
        <c:axId val="58991513"/>
        <c:axId val="688924567"/>
      </c:barChart>
      <c:catAx>
        <c:axId val="5899151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US"/>
          </a:p>
        </c:txPr>
        <c:crossAx val="688924567"/>
        <c:crosses val="autoZero"/>
        <c:auto val="1"/>
        <c:lblAlgn val="ctr"/>
        <c:lblOffset val="100"/>
        <c:noMultiLvlLbl val="0"/>
      </c:catAx>
      <c:valAx>
        <c:axId val="6889245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_ "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US"/>
          </a:p>
        </c:txPr>
        <c:crossAx val="58991513"/>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[Employees_data.xlsx]pivot-table!PivotTable3</c:name>
    <c:fmtId val="0"/>
  </c:pivotSource>
  <c:chart>
    <c:title>
      <c:overlay val="0"/>
    </c:title>
    <c:autoTitleDeleted val="0"/>
    <c:pivotFmts>
      <c:pivotFmt>
        <c:idx val="0"/>
        <c:spPr>
          <a:scene3d>
            <a:camera prst="orthographicFront"/>
            <a:lightRig rig="threePt" dir="t"/>
          </a:scene3d>
          <a:sp3d contourW="9525"/>
        </c:spPr>
        <c:marker>
          <c:symbol val="none"/>
        </c:marker>
        <c:dLbl>
          <c:idx val="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0" vertOverflow="ellipsis" vert="horz" wrap="square" lIns="38100" tIns="19050" rIns="38100" bIns="19050" anchor="ctr" anchorCtr="1"/>
            <a:lstStyle/>
            <a:p>
              <a:pPr>
                <a:defRPr lang="en-US"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contourW="9525"/>
        </c:spPr>
      </c:pivotFmt>
      <c:pivotFmt>
        <c:idx val="2"/>
        <c:spPr>
          <a:solidFill>
            <a:schemeClr val="accent3"/>
          </a:solidFill>
          <a:ln>
            <a:noFill/>
          </a:ln>
          <a:effectLst>
            <a:outerShdw blurRad="254000" sx="102000" sy="102000" algn="ctr" rotWithShape="0">
              <a:prstClr val="black">
                <a:alpha val="20000"/>
              </a:prstClr>
            </a:outerShdw>
          </a:effectLst>
          <a:scene3d>
            <a:camera prst="orthographicFront"/>
            <a:lightRig rig="threePt" dir="t"/>
          </a:scene3d>
          <a:sp3d contourW="9525"/>
        </c:spPr>
      </c:pivotFmt>
      <c:pivotFmt>
        <c:idx val="3"/>
        <c:spPr>
          <a:solidFill>
            <a:schemeClr val="accent5"/>
          </a:solidFill>
          <a:ln>
            <a:noFill/>
          </a:ln>
          <a:effectLst>
            <a:outerShdw blurRad="254000" sx="102000" sy="102000" algn="ctr" rotWithShape="0">
              <a:prstClr val="black">
                <a:alpha val="20000"/>
              </a:prstClr>
            </a:outerShdw>
          </a:effectLst>
          <a:scene3d>
            <a:camera prst="orthographicFront"/>
            <a:lightRig rig="threePt" dir="t"/>
          </a:scene3d>
          <a:sp3d contourW="9525"/>
        </c:spPr>
      </c:pivotFmt>
      <c:pivotFmt>
        <c:idx val="4"/>
        <c:spPr>
          <a:solidFill>
            <a:schemeClr val="accent1">
              <a:lumMod val="60000"/>
            </a:schemeClr>
          </a:solidFill>
          <a:ln>
            <a:noFill/>
          </a:ln>
          <a:effectLst>
            <a:outerShdw blurRad="254000" sx="102000" sy="102000" algn="ctr" rotWithShape="0">
              <a:prstClr val="black">
                <a:alpha val="20000"/>
              </a:prstClr>
            </a:outerShdw>
          </a:effectLst>
          <a:scene3d>
            <a:camera prst="orthographicFront"/>
            <a:lightRig rig="threePt" dir="t"/>
          </a:scene3d>
          <a:sp3d contourW="9525"/>
        </c:spPr>
      </c:pivotFmt>
    </c:pivotFmts>
    <c:view3D>
      <c:rotX val="30"/>
      <c:rotY val="0"/>
      <c:depthPercent val="100"/>
      <c:rAngAx val="0"/>
    </c:view3D>
    <c:floor>
      <c:thickness val="0"/>
      <c:spPr>
        <a:noFill/>
        <a:effectLst/>
      </c:spPr>
    </c:floor>
    <c:sideWall>
      <c:thickness val="0"/>
      <c:spPr>
        <a:noFill/>
        <a:effectLst/>
      </c:spPr>
    </c:sideWall>
    <c:backWall>
      <c:thickness val="0"/>
      <c:spPr>
        <a:noFill/>
        <a:effectLst/>
      </c:spPr>
    </c:backWall>
    <c:plotArea>
      <c:layout/>
      <c:pie3DChart>
        <c:varyColors val="1"/>
        <c:ser>
          <c:idx val="0"/>
          <c:order val="0"/>
          <c:tx>
            <c:strRef>
              <c:f>'pivot-table'!$B$22</c:f>
              <c:strCache>
                <c:ptCount val="1"/>
                <c:pt idx="0">
                  <c:v>Total</c:v>
                </c:pt>
              </c:strCache>
            </c:strRef>
          </c:tx>
          <c:spPr>
            <a:scene3d>
              <a:camera prst="orthographicFront"/>
              <a:lightRig rig="threePt" dir="t"/>
            </a:scene3d>
            <a:sp3d contourW="9525"/>
          </c:spPr>
          <c:dPt>
            <c:idx val="0"/>
            <c:bubble3D val="0"/>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contourW="9525"/>
            </c:spPr>
            <c:extLst>
              <c:ext xmlns:c16="http://schemas.microsoft.com/office/drawing/2014/chart" uri="{C3380CC4-5D6E-409C-BE32-E72D297353CC}">
                <c16:uniqueId val="{00000001-FF71-4278-98FB-9AA5CAC3B261}"/>
              </c:ext>
            </c:extLst>
          </c:dPt>
          <c:dPt>
            <c:idx val="1"/>
            <c:bubble3D val="0"/>
            <c:spPr>
              <a:solidFill>
                <a:schemeClr val="accent3"/>
              </a:solidFill>
              <a:ln>
                <a:noFill/>
              </a:ln>
              <a:effectLst>
                <a:outerShdw blurRad="254000" sx="102000" sy="102000" algn="ctr" rotWithShape="0">
                  <a:prstClr val="black">
                    <a:alpha val="20000"/>
                  </a:prstClr>
                </a:outerShdw>
              </a:effectLst>
              <a:scene3d>
                <a:camera prst="orthographicFront"/>
                <a:lightRig rig="threePt" dir="t"/>
              </a:scene3d>
              <a:sp3d contourW="9525"/>
            </c:spPr>
            <c:extLst>
              <c:ext xmlns:c16="http://schemas.microsoft.com/office/drawing/2014/chart" uri="{C3380CC4-5D6E-409C-BE32-E72D297353CC}">
                <c16:uniqueId val="{00000003-FF71-4278-98FB-9AA5CAC3B261}"/>
              </c:ext>
            </c:extLst>
          </c:dPt>
          <c:dPt>
            <c:idx val="2"/>
            <c:bubble3D val="0"/>
            <c:spPr>
              <a:solidFill>
                <a:schemeClr val="accent5"/>
              </a:solidFill>
              <a:ln>
                <a:noFill/>
              </a:ln>
              <a:effectLst>
                <a:outerShdw blurRad="254000" sx="102000" sy="102000" algn="ctr" rotWithShape="0">
                  <a:prstClr val="black">
                    <a:alpha val="20000"/>
                  </a:prstClr>
                </a:outerShdw>
              </a:effectLst>
              <a:scene3d>
                <a:camera prst="orthographicFront"/>
                <a:lightRig rig="threePt" dir="t"/>
              </a:scene3d>
              <a:sp3d contourW="9525"/>
            </c:spPr>
            <c:extLst>
              <c:ext xmlns:c16="http://schemas.microsoft.com/office/drawing/2014/chart" uri="{C3380CC4-5D6E-409C-BE32-E72D297353CC}">
                <c16:uniqueId val="{00000005-FF71-4278-98FB-9AA5CAC3B261}"/>
              </c:ext>
            </c:extLst>
          </c:dPt>
          <c:dPt>
            <c:idx val="3"/>
            <c:bubble3D val="0"/>
            <c:extLst>
              <c:ext xmlns:c16="http://schemas.microsoft.com/office/drawing/2014/chart" uri="{C3380CC4-5D6E-409C-BE32-E72D297353CC}">
                <c16:uniqueId val="{00000007-FF71-4278-98FB-9AA5CAC3B26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0" vertOverflow="ellipsis" vert="horz" wrap="square" lIns="38100" tIns="19050" rIns="38100" bIns="19050" anchor="ctr" anchorCtr="1"/>
              <a:lstStyle/>
              <a:p>
                <a:pPr>
                  <a:defRPr lang="en-US"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'pivot-table'!$A$23:$A$27</c:f>
              <c:strCache>
                <c:ptCount val="4"/>
                <c:pt idx="0">
                  <c:v>Old</c:v>
                </c:pt>
                <c:pt idx="1">
                  <c:v>Teenager</c:v>
                </c:pt>
                <c:pt idx="2">
                  <c:v>Youth</c:v>
                </c:pt>
                <c:pt idx="3">
                  <c:v>Adult</c:v>
                </c:pt>
              </c:strCache>
            </c:strRef>
          </c:cat>
          <c:val>
            <c:numRef>
              <c:f>'pivot-table'!$B$23:$B$27</c:f>
              <c:numCache>
                <c:formatCode>0_ </c:formatCode>
                <c:ptCount val="4"/>
                <c:pt idx="0">
                  <c:v>75000</c:v>
                </c:pt>
                <c:pt idx="1">
                  <c:v>58812.5</c:v>
                </c:pt>
                <c:pt idx="2">
                  <c:v>88800</c:v>
                </c:pt>
                <c:pt idx="3">
                  <c:v>89944.444444444438</c:v>
                </c:pt>
              </c:numCache>
            </c:numRef>
          </c:val>
          <c:extLst>
            <c:ext xmlns:c16="http://schemas.microsoft.com/office/drawing/2014/chart" uri="{C3380CC4-5D6E-409C-BE32-E72D297353CC}">
              <c16:uniqueId val="{00000008-FF71-4278-98FB-9AA5CAC3B261}"/>
            </c:ext>
          </c:extLst>
        </c:ser>
        <c:dLbls>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0"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gradFill>
    <a:ln w="9525" cap="flat" cmpd="sng" algn="ctr">
      <a:solidFill>
        <a:schemeClr val="dk1">
          <a:lumMod val="25000"/>
          <a:lumOff val="7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[Employees_data.xlsx]pivot-table!PivotTable4</c:name>
    <c:fmtId val="0"/>
  </c:pivotSource>
  <c:chart>
    <c:title>
      <c:overlay val="0"/>
      <c:spPr>
        <a:noFill/>
        <a:ln>
          <a:noFill/>
        </a:ln>
        <a:effectLst/>
      </c:spPr>
      <c:txPr>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'pivot-table'!$A$39:$A$88</c:f>
              <c:strCache>
                <c:ptCount val="49"/>
                <c:pt idx="0">
                  <c:v>Account Clerk</c:v>
                </c:pt>
                <c:pt idx="1">
                  <c:v>Accountant</c:v>
                </c:pt>
                <c:pt idx="2">
                  <c:v>Auditor</c:v>
                </c:pt>
                <c:pt idx="3">
                  <c:v>Business Analyst</c:v>
                </c:pt>
                <c:pt idx="4">
                  <c:v>Cashier</c:v>
                </c:pt>
                <c:pt idx="5">
                  <c:v>Caterer</c:v>
                </c:pt>
                <c:pt idx="6">
                  <c:v>Cleaner</c:v>
                </c:pt>
                <c:pt idx="7">
                  <c:v>Content Writer</c:v>
                </c:pt>
                <c:pt idx="8">
                  <c:v>Customer Success</c:v>
                </c:pt>
                <c:pt idx="9">
                  <c:v>Customer Support</c:v>
                </c:pt>
                <c:pt idx="10">
                  <c:v>Data Analyst</c:v>
                </c:pt>
                <c:pt idx="11">
                  <c:v>Delivery Rider</c:v>
                </c:pt>
                <c:pt idx="12">
                  <c:v>Driver</c:v>
                </c:pt>
                <c:pt idx="13">
                  <c:v>Electrician</c:v>
                </c:pt>
                <c:pt idx="14">
                  <c:v>Forklift Operator</c:v>
                </c:pt>
                <c:pt idx="15">
                  <c:v>Frontend Developer</c:v>
                </c:pt>
                <c:pt idx="16">
                  <c:v>Graphic Designer</c:v>
                </c:pt>
                <c:pt idx="17">
                  <c:v>HR Assistant</c:v>
                </c:pt>
                <c:pt idx="18">
                  <c:v>HR Manager</c:v>
                </c:pt>
                <c:pt idx="19">
                  <c:v>HR Officer</c:v>
                </c:pt>
                <c:pt idx="20">
                  <c:v>Inventory Officer</c:v>
                </c:pt>
                <c:pt idx="21">
                  <c:v>Machine Operator</c:v>
                </c:pt>
                <c:pt idx="22">
                  <c:v>Makeup Artist</c:v>
                </c:pt>
                <c:pt idx="23">
                  <c:v>Marketing Executive</c:v>
                </c:pt>
                <c:pt idx="24">
                  <c:v>Mechanic</c:v>
                </c:pt>
                <c:pt idx="25">
                  <c:v>Network Technician</c:v>
                </c:pt>
                <c:pt idx="26">
                  <c:v>Nurse</c:v>
                </c:pt>
                <c:pt idx="27">
                  <c:v>Office Assistant</c:v>
                </c:pt>
                <c:pt idx="28">
                  <c:v>Pharmacist</c:v>
                </c:pt>
                <c:pt idx="29">
                  <c:v>Photographer</c:v>
                </c:pt>
                <c:pt idx="30">
                  <c:v>Procurement Officer</c:v>
                </c:pt>
                <c:pt idx="31">
                  <c:v>Project Manager</c:v>
                </c:pt>
                <c:pt idx="32">
                  <c:v>Quality Control</c:v>
                </c:pt>
                <c:pt idx="33">
                  <c:v>Receptionist</c:v>
                </c:pt>
                <c:pt idx="34">
                  <c:v>Sales Manager</c:v>
                </c:pt>
                <c:pt idx="35">
                  <c:v>Sales Rep</c:v>
                </c:pt>
                <c:pt idx="36">
                  <c:v>Seamstress</c:v>
                </c:pt>
                <c:pt idx="37">
                  <c:v>Secretary</c:v>
                </c:pt>
                <c:pt idx="38">
                  <c:v>Security Officer</c:v>
                </c:pt>
                <c:pt idx="39">
                  <c:v>Security Supervisor</c:v>
                </c:pt>
                <c:pt idx="40">
                  <c:v>Social Media Manager</c:v>
                </c:pt>
                <c:pt idx="41">
                  <c:v>Software Engineer</c:v>
                </c:pt>
                <c:pt idx="42">
                  <c:v>Store Keeper</c:v>
                </c:pt>
                <c:pt idx="43">
                  <c:v>System Administrator</c:v>
                </c:pt>
                <c:pt idx="44">
                  <c:v>Tailor</c:v>
                </c:pt>
                <c:pt idx="45">
                  <c:v>Truck Driver</c:v>
                </c:pt>
                <c:pt idx="46">
                  <c:v>UI/UX Designer</c:v>
                </c:pt>
                <c:pt idx="47">
                  <c:v>Warehouse Officer</c:v>
                </c:pt>
                <c:pt idx="48">
                  <c:v>(blank)</c:v>
                </c:pt>
              </c:strCache>
            </c:strRef>
          </c:cat>
          <c:val>
            <c:numRef>
              <c:f>'pivot-table'!$B$39:$B$88</c:f>
              <c:numCache>
                <c:formatCode>General</c:formatCode>
                <c:ptCount val="49"/>
                <c:pt idx="0">
                  <c:v>55000</c:v>
                </c:pt>
                <c:pt idx="1">
                  <c:v>72000</c:v>
                </c:pt>
                <c:pt idx="2">
                  <c:v>135000</c:v>
                </c:pt>
                <c:pt idx="3">
                  <c:v>110000</c:v>
                </c:pt>
                <c:pt idx="4">
                  <c:v>52000</c:v>
                </c:pt>
                <c:pt idx="5">
                  <c:v>45000</c:v>
                </c:pt>
                <c:pt idx="6">
                  <c:v>35000</c:v>
                </c:pt>
                <c:pt idx="7">
                  <c:v>65000</c:v>
                </c:pt>
                <c:pt idx="8">
                  <c:v>70000</c:v>
                </c:pt>
                <c:pt idx="9">
                  <c:v>55000</c:v>
                </c:pt>
                <c:pt idx="10">
                  <c:v>85000</c:v>
                </c:pt>
                <c:pt idx="11">
                  <c:v>54000</c:v>
                </c:pt>
                <c:pt idx="12">
                  <c:v>48000</c:v>
                </c:pt>
                <c:pt idx="13">
                  <c:v>78000</c:v>
                </c:pt>
                <c:pt idx="14">
                  <c:v>65000</c:v>
                </c:pt>
                <c:pt idx="15">
                  <c:v>115000</c:v>
                </c:pt>
                <c:pt idx="16">
                  <c:v>68000</c:v>
                </c:pt>
                <c:pt idx="17">
                  <c:v>60000</c:v>
                </c:pt>
                <c:pt idx="18">
                  <c:v>160000</c:v>
                </c:pt>
                <c:pt idx="19">
                  <c:v>65000</c:v>
                </c:pt>
                <c:pt idx="20">
                  <c:v>92000</c:v>
                </c:pt>
                <c:pt idx="21">
                  <c:v>85000</c:v>
                </c:pt>
                <c:pt idx="22">
                  <c:v>60000</c:v>
                </c:pt>
                <c:pt idx="23">
                  <c:v>70000</c:v>
                </c:pt>
                <c:pt idx="24">
                  <c:v>72000</c:v>
                </c:pt>
                <c:pt idx="25">
                  <c:v>90000</c:v>
                </c:pt>
                <c:pt idx="26">
                  <c:v>120000</c:v>
                </c:pt>
                <c:pt idx="27">
                  <c:v>45000</c:v>
                </c:pt>
                <c:pt idx="28">
                  <c:v>145000</c:v>
                </c:pt>
                <c:pt idx="29">
                  <c:v>88000</c:v>
                </c:pt>
                <c:pt idx="30">
                  <c:v>95000</c:v>
                </c:pt>
                <c:pt idx="31">
                  <c:v>150000</c:v>
                </c:pt>
                <c:pt idx="32">
                  <c:v>95000</c:v>
                </c:pt>
                <c:pt idx="33">
                  <c:v>50000</c:v>
                </c:pt>
                <c:pt idx="34">
                  <c:v>140000</c:v>
                </c:pt>
                <c:pt idx="35">
                  <c:v>60000</c:v>
                </c:pt>
                <c:pt idx="36">
                  <c:v>83000</c:v>
                </c:pt>
                <c:pt idx="37">
                  <c:v>60000</c:v>
                </c:pt>
                <c:pt idx="38">
                  <c:v>50000</c:v>
                </c:pt>
                <c:pt idx="39">
                  <c:v>90000</c:v>
                </c:pt>
                <c:pt idx="40">
                  <c:v>95000</c:v>
                </c:pt>
                <c:pt idx="41">
                  <c:v>120000</c:v>
                </c:pt>
                <c:pt idx="42">
                  <c:v>58000</c:v>
                </c:pt>
                <c:pt idx="43">
                  <c:v>130000</c:v>
                </c:pt>
                <c:pt idx="44">
                  <c:v>82000</c:v>
                </c:pt>
                <c:pt idx="45">
                  <c:v>75000</c:v>
                </c:pt>
                <c:pt idx="46">
                  <c:v>105000</c:v>
                </c:pt>
                <c:pt idx="47">
                  <c:v>70000</c:v>
                </c:pt>
              </c:numCache>
            </c:numRef>
          </c:val>
          <c:smooth val="0"/>
          <c:extLst>
            <c:ext xmlns:c16="http://schemas.microsoft.com/office/drawing/2014/chart" uri="{C3380CC4-5D6E-409C-BE32-E72D297353CC}">
              <c16:uniqueId val="{00000000-2783-44A7-A75F-F2887964403B}"/>
            </c:ext>
          </c:extLst>
        </c:ser>
        <c:dLbls>
          <c:showLegendKey val="0"/>
          <c:showVal val="0"/>
          <c:showCatName val="0"/>
          <c:showSerName val="0"/>
          <c:showPercent val="0"/>
          <c:showBubbleSize val="0"/>
        </c:dLbls>
        <c:smooth val="0"/>
        <c:axId val="696644008"/>
        <c:axId val="868811178"/>
      </c:lineChart>
      <c:catAx>
        <c:axId val="696644008"/>
        <c:scaling>
          <c:orientation val="minMax"/>
        </c:scaling>
        <c:delete val="0"/>
        <c:axPos val="b"/>
        <c:numFmt formatCode="General" sourceLinked="0"/>
        <c:majorTickMark val="none"/>
        <c:minorTickMark val="none"/>
        <c:tickLblPos val="nextTo"/>
        <c:spPr>
          <a:noFill/>
          <a:ln w="9525" cap="flat" cmpd="sng" algn="ctr">
            <a:solidFill>
              <a:schemeClr val="lt1">
                <a:lumMod val="95000"/>
                <a:alpha val="10000"/>
              </a:schemeClr>
            </a:solidFill>
            <a:round/>
          </a:ln>
          <a:effectLst/>
        </c:spPr>
        <c:txPr>
          <a:bodyPr rot="-60000000" spcFirstLastPara="0"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868811178"/>
        <c:crosses val="autoZero"/>
        <c:auto val="1"/>
        <c:lblAlgn val="ctr"/>
        <c:lblOffset val="100"/>
        <c:noMultiLvlLbl val="0"/>
      </c:catAx>
      <c:valAx>
        <c:axId val="86881117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696644008"/>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gradFill>
    <a:ln>
      <a:noFill/>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[Employees_data.xlsx]pivot-table!PivotTable5</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'pivot-table'!$B$94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'pivot-table'!$A$95:$A$119</c:f>
              <c:strCache>
                <c:ptCount val="24"/>
                <c:pt idx="0">
                  <c:v>Abia</c:v>
                </c:pt>
                <c:pt idx="1">
                  <c:v>Akwa Ibom</c:v>
                </c:pt>
                <c:pt idx="2">
                  <c:v>Anambra</c:v>
                </c:pt>
                <c:pt idx="3">
                  <c:v>Bauchi</c:v>
                </c:pt>
                <c:pt idx="4">
                  <c:v>Cross River</c:v>
                </c:pt>
                <c:pt idx="5">
                  <c:v>Delta</c:v>
                </c:pt>
                <c:pt idx="6">
                  <c:v>Edo</c:v>
                </c:pt>
                <c:pt idx="7">
                  <c:v>Ekiti</c:v>
                </c:pt>
                <c:pt idx="8">
                  <c:v>Enugu</c:v>
                </c:pt>
                <c:pt idx="9">
                  <c:v>FCT</c:v>
                </c:pt>
                <c:pt idx="10">
                  <c:v>Imo</c:v>
                </c:pt>
                <c:pt idx="11">
                  <c:v>Kaduna</c:v>
                </c:pt>
                <c:pt idx="12">
                  <c:v>Kano</c:v>
                </c:pt>
                <c:pt idx="13">
                  <c:v>Katsina</c:v>
                </c:pt>
                <c:pt idx="14">
                  <c:v>Kebbi</c:v>
                </c:pt>
                <c:pt idx="15">
                  <c:v>Kwara</c:v>
                </c:pt>
                <c:pt idx="16">
                  <c:v>Lagos</c:v>
                </c:pt>
                <c:pt idx="17">
                  <c:v>Niger</c:v>
                </c:pt>
                <c:pt idx="18">
                  <c:v>Ogun</c:v>
                </c:pt>
                <c:pt idx="19">
                  <c:v>Ondo</c:v>
                </c:pt>
                <c:pt idx="20">
                  <c:v>Osun</c:v>
                </c:pt>
                <c:pt idx="21">
                  <c:v>Oyo</c:v>
                </c:pt>
                <c:pt idx="22">
                  <c:v>Plateau</c:v>
                </c:pt>
                <c:pt idx="23">
                  <c:v>Sokoto</c:v>
                </c:pt>
              </c:strCache>
            </c:strRef>
          </c:cat>
          <c:val>
            <c:numRef>
              <c:f>'pivot-table'!$B$95:$B$119</c:f>
              <c:numCache>
                <c:formatCode>General</c:formatCode>
                <c:ptCount val="24"/>
                <c:pt idx="0">
                  <c:v>270000</c:v>
                </c:pt>
                <c:pt idx="1">
                  <c:v>60000</c:v>
                </c:pt>
                <c:pt idx="2">
                  <c:v>118000</c:v>
                </c:pt>
                <c:pt idx="3">
                  <c:v>50000</c:v>
                </c:pt>
                <c:pt idx="4">
                  <c:v>52000</c:v>
                </c:pt>
                <c:pt idx="5">
                  <c:v>90000</c:v>
                </c:pt>
                <c:pt idx="6">
                  <c:v>85000</c:v>
                </c:pt>
                <c:pt idx="7">
                  <c:v>78000</c:v>
                </c:pt>
                <c:pt idx="8">
                  <c:v>260000</c:v>
                </c:pt>
                <c:pt idx="9">
                  <c:v>135000</c:v>
                </c:pt>
                <c:pt idx="10">
                  <c:v>105000</c:v>
                </c:pt>
                <c:pt idx="11">
                  <c:v>355000</c:v>
                </c:pt>
                <c:pt idx="12">
                  <c:v>279000</c:v>
                </c:pt>
                <c:pt idx="13">
                  <c:v>130000</c:v>
                </c:pt>
                <c:pt idx="14">
                  <c:v>42000</c:v>
                </c:pt>
                <c:pt idx="15">
                  <c:v>200000</c:v>
                </c:pt>
                <c:pt idx="16">
                  <c:v>888000</c:v>
                </c:pt>
                <c:pt idx="17">
                  <c:v>50000</c:v>
                </c:pt>
                <c:pt idx="18">
                  <c:v>239000</c:v>
                </c:pt>
                <c:pt idx="19">
                  <c:v>160000</c:v>
                </c:pt>
                <c:pt idx="20">
                  <c:v>65000</c:v>
                </c:pt>
                <c:pt idx="21">
                  <c:v>111000</c:v>
                </c:pt>
                <c:pt idx="22">
                  <c:v>90000</c:v>
                </c:pt>
                <c:pt idx="23">
                  <c:v>55000</c:v>
                </c:pt>
              </c:numCache>
            </c:numRef>
          </c:val>
          <c:extLst>
            <c:ext xmlns:c16="http://schemas.microsoft.com/office/drawing/2014/chart" uri="{C3380CC4-5D6E-409C-BE32-E72D297353CC}">
              <c16:uniqueId val="{00000000-8562-4C03-B207-459E09CBD0EB}"/>
            </c:ext>
          </c:extLst>
        </c:ser>
        <c:dLbls>
          <c:showLegendKey val="0"/>
          <c:showVal val="0"/>
          <c:showCatName val="0"/>
          <c:showSerName val="0"/>
          <c:showPercent val="0"/>
          <c:showBubbleSize val="0"/>
        </c:dLbls>
        <c:gapWidth val="150"/>
        <c:overlap val="100"/>
        <c:axId val="207050940"/>
        <c:axId val="540391111"/>
      </c:barChart>
      <c:catAx>
        <c:axId val="207050940"/>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0"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540391111"/>
        <c:crosses val="autoZero"/>
        <c:auto val="1"/>
        <c:lblAlgn val="ctr"/>
        <c:lblOffset val="100"/>
        <c:noMultiLvlLbl val="0"/>
      </c:catAx>
      <c:valAx>
        <c:axId val="5403911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207050940"/>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gradFill>
    <a:ln>
      <a:noFill/>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[Employees_data.xlsx]pivot-table!PivotTable1</c:name>
    <c:fmtId val="2"/>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'pivot-table'!$A$4:$A$18</c:f>
              <c:strCache>
                <c:ptCount val="14"/>
                <c:pt idx="0">
                  <c:v>Admin</c:v>
                </c:pt>
                <c:pt idx="1">
                  <c:v>Creative</c:v>
                </c:pt>
                <c:pt idx="2">
                  <c:v>Finance</c:v>
                </c:pt>
                <c:pt idx="3">
                  <c:v>Health</c:v>
                </c:pt>
                <c:pt idx="4">
                  <c:v>HR</c:v>
                </c:pt>
                <c:pt idx="5">
                  <c:v>IT</c:v>
                </c:pt>
                <c:pt idx="6">
                  <c:v>Logistics</c:v>
                </c:pt>
                <c:pt idx="7">
                  <c:v>Maintenance</c:v>
                </c:pt>
                <c:pt idx="8">
                  <c:v>Marketing</c:v>
                </c:pt>
                <c:pt idx="9">
                  <c:v>Operations</c:v>
                </c:pt>
                <c:pt idx="10">
                  <c:v>Production</c:v>
                </c:pt>
                <c:pt idx="11">
                  <c:v>Sales</c:v>
                </c:pt>
                <c:pt idx="12">
                  <c:v>Security</c:v>
                </c:pt>
                <c:pt idx="13">
                  <c:v>Support</c:v>
                </c:pt>
              </c:strCache>
            </c:strRef>
          </c:cat>
          <c:val>
            <c:numRef>
              <c:f>'pivot-table'!$B$4:$B$18</c:f>
              <c:numCache>
                <c:formatCode>0_ </c:formatCode>
                <c:ptCount val="14"/>
                <c:pt idx="0">
                  <c:v>51666.666666666664</c:v>
                </c:pt>
                <c:pt idx="1">
                  <c:v>80250</c:v>
                </c:pt>
                <c:pt idx="2">
                  <c:v>78500</c:v>
                </c:pt>
                <c:pt idx="3">
                  <c:v>132500</c:v>
                </c:pt>
                <c:pt idx="4">
                  <c:v>95000</c:v>
                </c:pt>
                <c:pt idx="5">
                  <c:v>108333.33333333333</c:v>
                </c:pt>
                <c:pt idx="6">
                  <c:v>66000</c:v>
                </c:pt>
                <c:pt idx="7">
                  <c:v>61666.666666666664</c:v>
                </c:pt>
                <c:pt idx="8">
                  <c:v>76666.666666666672</c:v>
                </c:pt>
                <c:pt idx="9">
                  <c:v>122500</c:v>
                </c:pt>
                <c:pt idx="10">
                  <c:v>57500</c:v>
                </c:pt>
                <c:pt idx="11">
                  <c:v>100000</c:v>
                </c:pt>
                <c:pt idx="12">
                  <c:v>70000</c:v>
                </c:pt>
                <c:pt idx="13">
                  <c:v>56666.666666666664</c:v>
                </c:pt>
              </c:numCache>
            </c:numRef>
          </c:val>
          <c:extLst>
            <c:ext xmlns:c16="http://schemas.microsoft.com/office/drawing/2014/chart" uri="{C3380CC4-5D6E-409C-BE32-E72D297353CC}">
              <c16:uniqueId val="{00000000-BF6E-4928-BC43-EBC8CDBB619F}"/>
            </c:ext>
          </c:extLst>
        </c:ser>
        <c:dLbls>
          <c:showLegendKey val="0"/>
          <c:showVal val="0"/>
          <c:showCatName val="0"/>
          <c:showSerName val="0"/>
          <c:showPercent val="0"/>
          <c:showBubbleSize val="0"/>
        </c:dLbls>
        <c:gapWidth val="150"/>
        <c:axId val="58991513"/>
        <c:axId val="688924567"/>
      </c:barChart>
      <c:catAx>
        <c:axId val="5899151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US"/>
          </a:p>
        </c:txPr>
        <c:crossAx val="688924567"/>
        <c:crosses val="autoZero"/>
        <c:auto val="1"/>
        <c:lblAlgn val="ctr"/>
        <c:lblOffset val="100"/>
        <c:noMultiLvlLbl val="0"/>
      </c:catAx>
      <c:valAx>
        <c:axId val="6889245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_ "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US"/>
          </a:p>
        </c:txPr>
        <c:crossAx val="58991513"/>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[Employees_data.xlsx]pivot-table!PivotTable3</c:name>
    <c:fmtId val="2"/>
  </c:pivotSource>
  <c:chart>
    <c:autoTitleDeleted val="1"/>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3"/>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
      </c:pivotFmt>
    </c:pivotFmts>
    <c:plotArea>
      <c:layout/>
      <c:doughnutChart>
        <c:varyColors val="1"/>
        <c:ser>
          <c:idx val="0"/>
          <c:order val="0"/>
          <c:tx>
            <c:strRef>
              <c:f>'pivot-table'!$B$22</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22B5-43F1-B559-B3AECB14A617}"/>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22B5-43F1-B559-B3AECB14A617}"/>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22B5-43F1-B559-B3AECB14A617}"/>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22B5-43F1-B559-B3AECB14A6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'pivot-table'!$A$23:$A$27</c:f>
              <c:strCache>
                <c:ptCount val="4"/>
                <c:pt idx="0">
                  <c:v>Old</c:v>
                </c:pt>
                <c:pt idx="1">
                  <c:v>Teenager</c:v>
                </c:pt>
                <c:pt idx="2">
                  <c:v>Youth</c:v>
                </c:pt>
                <c:pt idx="3">
                  <c:v>Adult</c:v>
                </c:pt>
              </c:strCache>
            </c:strRef>
          </c:cat>
          <c:val>
            <c:numRef>
              <c:f>'pivot-table'!$B$23:$B$27</c:f>
              <c:numCache>
                <c:formatCode>0_ </c:formatCode>
                <c:ptCount val="4"/>
                <c:pt idx="0">
                  <c:v>75000</c:v>
                </c:pt>
                <c:pt idx="1">
                  <c:v>58812.5</c:v>
                </c:pt>
                <c:pt idx="2">
                  <c:v>88800</c:v>
                </c:pt>
                <c:pt idx="3">
                  <c:v>89944.444444444438</c:v>
                </c:pt>
              </c:numCache>
            </c:numRef>
          </c:val>
          <c:extLst>
            <c:ext xmlns:c16="http://schemas.microsoft.com/office/drawing/2014/chart" uri="{C3380CC4-5D6E-409C-BE32-E72D297353CC}">
              <c16:uniqueId val="{00000008-22B5-43F1-B559-B3AECB14A617}"/>
            </c:ext>
          </c:extLst>
        </c:ser>
        <c:dLbls>
          <c:showLegendKey val="0"/>
          <c:showVal val="0"/>
          <c:showCatName val="1"/>
          <c:showSerName val="0"/>
          <c:showPercent val="0"/>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[Employees_data.xlsx]pivot-table!PivotTable5</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'pivot-table'!$B$94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'pivot-table'!$A$95:$A$119</c:f>
              <c:strCache>
                <c:ptCount val="24"/>
                <c:pt idx="0">
                  <c:v>Abia</c:v>
                </c:pt>
                <c:pt idx="1">
                  <c:v>Akwa Ibom</c:v>
                </c:pt>
                <c:pt idx="2">
                  <c:v>Anambra</c:v>
                </c:pt>
                <c:pt idx="3">
                  <c:v>Bauchi</c:v>
                </c:pt>
                <c:pt idx="4">
                  <c:v>Cross River</c:v>
                </c:pt>
                <c:pt idx="5">
                  <c:v>Delta</c:v>
                </c:pt>
                <c:pt idx="6">
                  <c:v>Edo</c:v>
                </c:pt>
                <c:pt idx="7">
                  <c:v>Ekiti</c:v>
                </c:pt>
                <c:pt idx="8">
                  <c:v>Enugu</c:v>
                </c:pt>
                <c:pt idx="9">
                  <c:v>FCT</c:v>
                </c:pt>
                <c:pt idx="10">
                  <c:v>Imo</c:v>
                </c:pt>
                <c:pt idx="11">
                  <c:v>Kaduna</c:v>
                </c:pt>
                <c:pt idx="12">
                  <c:v>Kano</c:v>
                </c:pt>
                <c:pt idx="13">
                  <c:v>Katsina</c:v>
                </c:pt>
                <c:pt idx="14">
                  <c:v>Kebbi</c:v>
                </c:pt>
                <c:pt idx="15">
                  <c:v>Kwara</c:v>
                </c:pt>
                <c:pt idx="16">
                  <c:v>Lagos</c:v>
                </c:pt>
                <c:pt idx="17">
                  <c:v>Niger</c:v>
                </c:pt>
                <c:pt idx="18">
                  <c:v>Ogun</c:v>
                </c:pt>
                <c:pt idx="19">
                  <c:v>Ondo</c:v>
                </c:pt>
                <c:pt idx="20">
                  <c:v>Osun</c:v>
                </c:pt>
                <c:pt idx="21">
                  <c:v>Oyo</c:v>
                </c:pt>
                <c:pt idx="22">
                  <c:v>Plateau</c:v>
                </c:pt>
                <c:pt idx="23">
                  <c:v>Sokoto</c:v>
                </c:pt>
              </c:strCache>
            </c:strRef>
          </c:cat>
          <c:val>
            <c:numRef>
              <c:f>'pivot-table'!$B$95:$B$119</c:f>
              <c:numCache>
                <c:formatCode>General</c:formatCode>
                <c:ptCount val="24"/>
                <c:pt idx="0">
                  <c:v>270000</c:v>
                </c:pt>
                <c:pt idx="1">
                  <c:v>60000</c:v>
                </c:pt>
                <c:pt idx="2">
                  <c:v>118000</c:v>
                </c:pt>
                <c:pt idx="3">
                  <c:v>50000</c:v>
                </c:pt>
                <c:pt idx="4">
                  <c:v>52000</c:v>
                </c:pt>
                <c:pt idx="5">
                  <c:v>90000</c:v>
                </c:pt>
                <c:pt idx="6">
                  <c:v>85000</c:v>
                </c:pt>
                <c:pt idx="7">
                  <c:v>78000</c:v>
                </c:pt>
                <c:pt idx="8">
                  <c:v>260000</c:v>
                </c:pt>
                <c:pt idx="9">
                  <c:v>135000</c:v>
                </c:pt>
                <c:pt idx="10">
                  <c:v>105000</c:v>
                </c:pt>
                <c:pt idx="11">
                  <c:v>355000</c:v>
                </c:pt>
                <c:pt idx="12">
                  <c:v>279000</c:v>
                </c:pt>
                <c:pt idx="13">
                  <c:v>130000</c:v>
                </c:pt>
                <c:pt idx="14">
                  <c:v>42000</c:v>
                </c:pt>
                <c:pt idx="15">
                  <c:v>200000</c:v>
                </c:pt>
                <c:pt idx="16">
                  <c:v>888000</c:v>
                </c:pt>
                <c:pt idx="17">
                  <c:v>50000</c:v>
                </c:pt>
                <c:pt idx="18">
                  <c:v>239000</c:v>
                </c:pt>
                <c:pt idx="19">
                  <c:v>160000</c:v>
                </c:pt>
                <c:pt idx="20">
                  <c:v>65000</c:v>
                </c:pt>
                <c:pt idx="21">
                  <c:v>111000</c:v>
                </c:pt>
                <c:pt idx="22">
                  <c:v>90000</c:v>
                </c:pt>
                <c:pt idx="23">
                  <c:v>55000</c:v>
                </c:pt>
              </c:numCache>
            </c:numRef>
          </c:val>
          <c:extLst>
            <c:ext xmlns:c16="http://schemas.microsoft.com/office/drawing/2014/chart" uri="{C3380CC4-5D6E-409C-BE32-E72D297353CC}">
              <c16:uniqueId val="{00000000-1EEB-4AB8-A74B-F94BAF2ACD83}"/>
            </c:ext>
          </c:extLst>
        </c:ser>
        <c:dLbls>
          <c:showLegendKey val="0"/>
          <c:showVal val="0"/>
          <c:showCatName val="0"/>
          <c:showSerName val="0"/>
          <c:showPercent val="0"/>
          <c:showBubbleSize val="0"/>
        </c:dLbls>
        <c:gapWidth val="150"/>
        <c:overlap val="100"/>
        <c:axId val="207050940"/>
        <c:axId val="540391111"/>
      </c:barChart>
      <c:catAx>
        <c:axId val="207050940"/>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0"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540391111"/>
        <c:crosses val="autoZero"/>
        <c:auto val="1"/>
        <c:lblAlgn val="ctr"/>
        <c:lblOffset val="100"/>
        <c:noMultiLvlLbl val="0"/>
      </c:catAx>
      <c:valAx>
        <c:axId val="5403911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20705094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gradFill>
    <a:ln>
      <a:noFill/>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203200</xdr:colOff>
      <xdr:row>3</xdr:row>
      <xdr:rowOff>152400</xdr:rowOff>
    </xdr:from>
    <xdr:to>
      <xdr:col>8</xdr:col>
      <xdr:colOff>584200</xdr:colOff>
      <xdr:row>18</xdr:row>
      <xdr:rowOff>38100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231775</xdr:colOff>
      <xdr:row>19</xdr:row>
      <xdr:rowOff>0</xdr:rowOff>
    </xdr:from>
    <xdr:to>
      <xdr:col>8</xdr:col>
      <xdr:colOff>612775</xdr:colOff>
      <xdr:row>33</xdr:row>
      <xdr:rowOff>76200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1117600</xdr:colOff>
      <xdr:row>38</xdr:row>
      <xdr:rowOff>66675</xdr:rowOff>
    </xdr:from>
    <xdr:to>
      <xdr:col>5</xdr:col>
      <xdr:colOff>869950</xdr:colOff>
      <xdr:row>52</xdr:row>
      <xdr:rowOff>142875</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1041400</xdr:colOff>
      <xdr:row>85</xdr:row>
      <xdr:rowOff>114300</xdr:rowOff>
    </xdr:from>
    <xdr:to>
      <xdr:col>6</xdr:col>
      <xdr:colOff>298450</xdr:colOff>
      <xdr:row>100</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774700</xdr:colOff>
      <xdr:row>4</xdr:row>
      <xdr:rowOff>160655</xdr:rowOff>
    </xdr:from>
    <xdr:to>
      <xdr:col>16</xdr:col>
      <xdr:colOff>700405</xdr:colOff>
      <xdr:row>10</xdr:row>
      <xdr:rowOff>43815</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mlns:r="http://schemas.openxmlformats.org/officeDocument/2006/relationships">
        <xdr:sp macro="" textlink="">
          <xdr:nvSpPr>
            <xdr:cNvPr id="0" name=""/>
            <xdr:cNvSpPr>
              <a:spLocks noTextEdit="1"/>
            </xdr:cNvSpPr>
          </xdr:nvSpPr>
          <xdr:spPr>
            <a:xfrm>
              <a:off x="3289300" y="922655"/>
              <a:ext cx="10822305" cy="102616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4</xdr:col>
      <xdr:colOff>19684</xdr:colOff>
      <xdr:row>10</xdr:row>
      <xdr:rowOff>98425</xdr:rowOff>
    </xdr:from>
    <xdr:to>
      <xdr:col>10</xdr:col>
      <xdr:colOff>520700</xdr:colOff>
      <xdr:row>20</xdr:row>
      <xdr:rowOff>127000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612775</xdr:colOff>
      <xdr:row>10</xdr:row>
      <xdr:rowOff>95250</xdr:rowOff>
    </xdr:from>
    <xdr:to>
      <xdr:col>16</xdr:col>
      <xdr:colOff>609600</xdr:colOff>
      <xdr:row>20</xdr:row>
      <xdr:rowOff>127000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xdr:colOff>
      <xdr:row>20</xdr:row>
      <xdr:rowOff>174625</xdr:rowOff>
    </xdr:from>
    <xdr:to>
      <xdr:col>18</xdr:col>
      <xdr:colOff>19050</xdr:colOff>
      <xdr:row>33</xdr:row>
      <xdr:rowOff>63500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xdr:colOff>
      <xdr:row>12</xdr:row>
      <xdr:rowOff>31751</xdr:rowOff>
    </xdr:from>
    <xdr:to>
      <xdr:col>3</xdr:col>
      <xdr:colOff>614680</xdr:colOff>
      <xdr:row>32</xdr:row>
      <xdr:rowOff>19051</xdr:rowOff>
    </xdr:to>
    <mc:AlternateContent xmlns:mc="http://schemas.openxmlformats.org/markup-compatibility/2006">
      <mc:Choice xmlns:a14="http://schemas.microsoft.com/office/drawing/2010/main" Requires="a14">
        <xdr:graphicFrame macro="">
          <xdr:nvGraphicFramePr>
            <xdr:cNvPr id="8" name="State">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9525" y="2241551"/>
              <a:ext cx="2453005" cy="367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5</xdr:row>
      <xdr:rowOff>0</xdr:rowOff>
    </xdr:from>
    <xdr:to>
      <xdr:col>3</xdr:col>
      <xdr:colOff>723265</xdr:colOff>
      <xdr:row>11</xdr:row>
      <xdr:rowOff>166370</xdr:rowOff>
    </xdr:to>
    <mc:AlternateContent xmlns:mc="http://schemas.openxmlformats.org/markup-compatibility/2006" xmlns:a14="http://schemas.microsoft.com/office/drawing/2010/main">
      <mc:Choice Requires="a14">
        <xdr:graphicFrame macro="">
          <xdr:nvGraphicFramePr>
            <xdr:cNvPr id="9" name="age_bracket">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0/slicer">
              <sle:slicer xmlns:sle="http://schemas.microsoft.com/office/drawing/2010/slicer" name="age_bracket"/>
            </a:graphicData>
          </a:graphic>
        </xdr:graphicFrame>
      </mc:Choice>
      <mc:Fallback xmlns="" xmlns:r="http://schemas.openxmlformats.org/officeDocument/2006/relationships">
        <xdr:sp macro="" textlink="">
          <xdr:nvSpPr>
            <xdr:cNvPr id="0" name=""/>
            <xdr:cNvSpPr>
              <a:spLocks noTextEdit="1"/>
            </xdr:cNvSpPr>
          </xdr:nvSpPr>
          <xdr:spPr>
            <a:xfrm>
              <a:off x="9525" y="952500"/>
              <a:ext cx="3228340" cy="130937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ama abdulllahi" refreshedDate="46039.517047222223" createdVersion="5" refreshedVersion="8" minRefreshableVersion="3" recordCount="50" xr:uid="{00000000-000A-0000-FFFF-FFFF00000000}">
  <cacheSource type="worksheet">
    <worksheetSource ref="A1:L51" sheet="data"/>
  </cacheSource>
  <cacheFields count="12">
    <cacheField name="ID" numFmtId="0">
      <sharedItems/>
    </cacheField>
    <cacheField name="FirstName" numFmtId="0">
      <sharedItems/>
    </cacheField>
    <cacheField name="LastName" numFmtId="0">
      <sharedItems/>
    </cacheField>
    <cacheField name="Email" numFmtId="0">
      <sharedItems/>
    </cacheField>
    <cacheField name="JobTitle" numFmtId="0">
      <sharedItems/>
    </cacheField>
    <cacheField name="Department" numFmtId="0">
      <sharedItems count="14">
        <s v="IT"/>
        <s v="Finance"/>
        <s v="HR"/>
        <s v="Marketing"/>
        <s v="Sales"/>
        <s v="Operations"/>
        <s v="Support"/>
        <s v="Creative"/>
        <s v="Admin"/>
        <s v="Security"/>
        <s v="Logistics"/>
        <s v="Production"/>
        <s v="Health"/>
        <s v="Maintenance"/>
      </sharedItems>
    </cacheField>
    <cacheField name="Salary" numFmtId="0">
      <sharedItems containsSemiMixedTypes="0" containsString="0" containsNumber="1" containsInteger="1" minValue="35000" maxValue="160000"/>
    </cacheField>
    <cacheField name="Age" numFmtId="0">
      <sharedItems containsSemiMixedTypes="0" containsString="0" containsNumber="1" containsInteger="1" minValue="18" maxValue="52"/>
    </cacheField>
    <cacheField name="age_bracket" numFmtId="0">
      <sharedItems count="6">
        <s v="Youth"/>
        <s v="Adult"/>
        <s v="Teenager"/>
        <s v="Old"/>
        <s v="Man" u="1"/>
        <s v="Men" u="1"/>
      </sharedItems>
    </cacheField>
    <cacheField name="State" numFmtId="0">
      <sharedItems count="24">
        <s v="Lagos"/>
        <s v="Kano"/>
        <s v="Abia"/>
        <s v="Kaduna"/>
        <s v="Oyo"/>
        <s v="Anambra"/>
        <s v="Katsina"/>
        <s v="Ondo"/>
        <s v="Imo"/>
        <s v="Niger"/>
        <s v="Ogun"/>
        <s v="Osun"/>
        <s v="Enugu"/>
        <s v="Kwara"/>
        <s v="Bauchi"/>
        <s v="Delta"/>
        <s v="Sokoto"/>
        <s v="FCT"/>
        <s v="Ekiti"/>
        <s v="Edo"/>
        <s v="Cross River"/>
        <s v="Plateau"/>
        <s v="Akwa Ibom"/>
        <s v="Kebbi"/>
      </sharedItems>
    </cacheField>
    <cacheField name="City" numFmtId="0">
      <sharedItems/>
    </cacheField>
    <cacheField name="StartDate" numFmtId="0">
      <sharedItems containsSemiMixedTypes="0" containsNonDate="0" containsDate="1" containsString="0" minDate="2012-09-14T00:00:00" maxDate="2024-06-21T00:00:00"/>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ama abdulllahi" refreshedDate="46039.517050578703" createdVersion="5" refreshedVersion="8" minRefreshableVersion="3" recordCount="51" xr:uid="{00000000-000A-0000-FFFF-FFFF01000000}">
  <cacheSource type="worksheet">
    <worksheetSource ref="A1:L1048576" sheet="data"/>
  </cacheSource>
  <cacheFields count="12">
    <cacheField name="ID" numFmtId="0">
      <sharedItems containsBlank="1"/>
    </cacheField>
    <cacheField name="FirstName" numFmtId="0">
      <sharedItems containsBlank="1"/>
    </cacheField>
    <cacheField name="LastName" numFmtId="0">
      <sharedItems containsBlank="1"/>
    </cacheField>
    <cacheField name="Email" numFmtId="0">
      <sharedItems containsBlank="1"/>
    </cacheField>
    <cacheField name="JobTitle" numFmtId="0">
      <sharedItems containsBlank="1" count="49">
        <s v="Data Analyst"/>
        <s v="Accountant"/>
        <s v="Software Engineer"/>
        <s v="HR Officer"/>
        <s v="Marketing Executive"/>
        <s v="Sales Rep"/>
        <s v="Project Manager"/>
        <s v="Customer Support"/>
        <s v="Graphic Designer"/>
        <s v="Office Assistant"/>
        <s v="Security Officer"/>
        <s v="Business Analyst"/>
        <s v="Driver"/>
        <s v="Content Writer"/>
        <s v="Warehouse Officer"/>
        <s v="Frontend Developer"/>
        <s v="Sales Manager"/>
        <s v="Receptionist"/>
        <s v="Network Technician"/>
        <s v="HR Assistant"/>
        <s v="System Administrator"/>
        <s v="Tailor"/>
        <s v="Store Keeper"/>
        <s v="Pharmacist"/>
        <s v="Account Clerk"/>
        <s v="Seamstress"/>
        <s v="Cleaner"/>
        <s v="HR Manager"/>
        <s v="Forklift Operator"/>
        <s v="UI/UX Designer"/>
        <s v="Auditor"/>
        <s v="Customer Success"/>
        <s v="Procurement Officer"/>
        <s v="Electrician"/>
        <s v="Makeup Artist"/>
        <s v="Machine Operator"/>
        <s v="Nurse"/>
        <s v="Quality Control"/>
        <s v="Cashier"/>
        <s v="Truck Driver"/>
        <s v="Caterer"/>
        <s v="Security Supervisor"/>
        <s v="Social Media Manager"/>
        <s v="Mechanic"/>
        <s v="Secretary"/>
        <s v="Photographer"/>
        <s v="Delivery Rider"/>
        <s v="Inventory Officer"/>
        <m/>
      </sharedItems>
    </cacheField>
    <cacheField name="Department" numFmtId="0">
      <sharedItems containsBlank="1"/>
    </cacheField>
    <cacheField name="Salary" numFmtId="0">
      <sharedItems containsString="0" containsBlank="1" containsNumber="1" containsInteger="1" minValue="35000" maxValue="160000"/>
    </cacheField>
    <cacheField name="Age" numFmtId="0">
      <sharedItems containsString="0" containsBlank="1" containsNumber="1" containsInteger="1" minValue="18" maxValue="52"/>
    </cacheField>
    <cacheField name="age_bracket" numFmtId="0">
      <sharedItems containsBlank="1"/>
    </cacheField>
    <cacheField name="State" numFmtId="0">
      <sharedItems containsBlank="1"/>
    </cacheField>
    <cacheField name="City" numFmtId="0">
      <sharedItems containsBlank="1"/>
    </cacheField>
    <cacheField name="StartDate" numFmtId="0">
      <sharedItems containsNonDate="0" containsDate="1" containsString="0" containsBlank="1" minDate="2012-09-14T00:00:00" maxDate="2024-06-21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EMP001"/>
    <s v="John"/>
    <s v="Okafor"/>
    <s v="john.okafor@company.com"/>
    <s v="Data Analyst"/>
    <x v="0"/>
    <n v="85000"/>
    <n v="28"/>
    <x v="0"/>
    <x v="0"/>
    <s v="Ikeja"/>
    <d v="2020-01-15T00:00:00"/>
  </r>
  <r>
    <s v="EMP002"/>
    <s v="Aisha"/>
    <s v="Bello"/>
    <s v="aisha.bello@company.com"/>
    <s v="Accountant"/>
    <x v="1"/>
    <n v="72000"/>
    <n v="32"/>
    <x v="0"/>
    <x v="1"/>
    <s v="Nasarawa"/>
    <d v="2019-03-10T00:00:00"/>
  </r>
  <r>
    <s v="EMP003"/>
    <s v="Chinedu"/>
    <s v="Eze"/>
    <s v="chinedu.eze@company.com"/>
    <s v="Software Engineer"/>
    <x v="0"/>
    <n v="120000"/>
    <n v="26"/>
    <x v="0"/>
    <x v="2"/>
    <s v="Umuahia"/>
    <d v="2021-06-01T00:00:00"/>
  </r>
  <r>
    <s v="EMP004"/>
    <s v="Fatima"/>
    <s v="Abdul"/>
    <s v="fatima.abdul@company.com"/>
    <s v="HR Officer"/>
    <x v="2"/>
    <n v="65000"/>
    <n v="35"/>
    <x v="1"/>
    <x v="3"/>
    <s v="Zaria"/>
    <d v="2018-09-12T00:00:00"/>
  </r>
  <r>
    <s v="EMP005"/>
    <s v="David"/>
    <s v="Adegoke"/>
    <s v="david.adegoke@company.com"/>
    <s v="Marketing Executive"/>
    <x v="3"/>
    <n v="70000"/>
    <n v="29"/>
    <x v="0"/>
    <x v="4"/>
    <s v="Ibadan"/>
    <d v="2022-02-20T00:00:00"/>
  </r>
  <r>
    <s v="EMP006"/>
    <s v="Blessing"/>
    <s v="Nwoye"/>
    <s v="blessing.nwoye@company.com"/>
    <s v="Sales Rep"/>
    <x v="4"/>
    <n v="60000"/>
    <n v="24"/>
    <x v="2"/>
    <x v="5"/>
    <s v="Awka"/>
    <d v="2023-01-08T00:00:00"/>
  </r>
  <r>
    <s v="EMP007"/>
    <s v="Michael"/>
    <s v="James"/>
    <s v="michael.james@company.com"/>
    <s v="Project Manager"/>
    <x v="5"/>
    <n v="150000"/>
    <n v="41"/>
    <x v="1"/>
    <x v="0"/>
    <s v="Lekki"/>
    <d v="2017-04-17T00:00:00"/>
  </r>
  <r>
    <s v="EMP008"/>
    <s v="Zainab"/>
    <s v="Musa"/>
    <s v="zainab.musa@company.com"/>
    <s v="Customer Support"/>
    <x v="6"/>
    <n v="55000"/>
    <n v="22"/>
    <x v="2"/>
    <x v="6"/>
    <s v="Funtua"/>
    <d v="2023-08-03T00:00:00"/>
  </r>
  <r>
    <s v="EMP009"/>
    <s v="Samuel"/>
    <s v="Ajayi"/>
    <s v="samuel.ajayi@company.com"/>
    <s v="Graphic Designer"/>
    <x v="7"/>
    <n v="68000"/>
    <n v="27"/>
    <x v="0"/>
    <x v="7"/>
    <s v="Akure"/>
    <d v="2021-11-14T00:00:00"/>
  </r>
  <r>
    <s v="EMP010"/>
    <s v="Grace"/>
    <s v="Obi"/>
    <s v="grace.obi@company.com"/>
    <s v="Office Assistant"/>
    <x v="8"/>
    <n v="45000"/>
    <n v="21"/>
    <x v="2"/>
    <x v="8"/>
    <s v="Owerri"/>
    <d v="2024-05-01T00:00:00"/>
  </r>
  <r>
    <s v="EMP011"/>
    <s v="Ibrahim"/>
    <s v="Sadiq"/>
    <s v="ibrahim.sadiq@company.com"/>
    <s v="Security Officer"/>
    <x v="9"/>
    <n v="50000"/>
    <n v="45"/>
    <x v="1"/>
    <x v="9"/>
    <s v="Minna"/>
    <d v="2016-12-05T00:00:00"/>
  </r>
  <r>
    <s v="EMP012"/>
    <s v="Mary"/>
    <s v="Johnson"/>
    <s v="mary.johnson@company.com"/>
    <s v="Business Analyst"/>
    <x v="0"/>
    <n v="110000"/>
    <n v="31"/>
    <x v="0"/>
    <x v="0"/>
    <s v="Surulere"/>
    <d v="2019-07-19T00:00:00"/>
  </r>
  <r>
    <s v="EMP013"/>
    <s v="Peter"/>
    <s v="Balogun"/>
    <s v="peter.balogun@company.com"/>
    <s v="Driver"/>
    <x v="10"/>
    <n v="48000"/>
    <n v="39"/>
    <x v="1"/>
    <x v="10"/>
    <s v="Abeokuta"/>
    <d v="2015-03-30T00:00:00"/>
  </r>
  <r>
    <s v="EMP014"/>
    <s v="Esther"/>
    <s v="Alabi"/>
    <s v="esther.alabi@company.com"/>
    <s v="Content Writer"/>
    <x v="3"/>
    <n v="65000"/>
    <n v="25"/>
    <x v="2"/>
    <x v="11"/>
    <s v="Osogbo"/>
    <d v="2022-09-09T00:00:00"/>
  </r>
  <r>
    <s v="EMP015"/>
    <s v="Usman"/>
    <s v="Abubakar"/>
    <s v="usman.abubakar@company.com"/>
    <s v="Warehouse Officer"/>
    <x v="10"/>
    <n v="70000"/>
    <n v="34"/>
    <x v="0"/>
    <x v="3"/>
    <s v="Kafanchan"/>
    <d v="2020-10-18T00:00:00"/>
  </r>
  <r>
    <s v="EMP016"/>
    <s v="Ruth"/>
    <s v="Chukwu"/>
    <s v="ruth.chukwu@company.com"/>
    <s v="Frontend Developer"/>
    <x v="0"/>
    <n v="115000"/>
    <n v="23"/>
    <x v="2"/>
    <x v="12"/>
    <s v="Nsukka"/>
    <d v="2023-02-12T00:00:00"/>
  </r>
  <r>
    <s v="EMP017"/>
    <s v="Yusuf"/>
    <s v="Lawal"/>
    <s v="yusuf.lawal@company.com"/>
    <s v="Sales Manager"/>
    <x v="4"/>
    <n v="140000"/>
    <n v="38"/>
    <x v="1"/>
    <x v="13"/>
    <s v="Ilorin"/>
    <d v="2018-06-06T00:00:00"/>
  </r>
  <r>
    <s v="EMP018"/>
    <s v="Hauwa"/>
    <s v="Sule"/>
    <s v="hauwa.sule@company.com"/>
    <s v="Receptionist"/>
    <x v="8"/>
    <n v="50000"/>
    <n v="20"/>
    <x v="2"/>
    <x v="14"/>
    <s v="Bauchi"/>
    <d v="2024-01-22T00:00:00"/>
  </r>
  <r>
    <s v="EMP019"/>
    <s v="Kelvin"/>
    <s v="Uche"/>
    <s v="kelvin.uche@company.com"/>
    <s v="Network Technician"/>
    <x v="0"/>
    <n v="90000"/>
    <n v="29"/>
    <x v="0"/>
    <x v="15"/>
    <s v="Asaba"/>
    <d v="2021-03-15T00:00:00"/>
  </r>
  <r>
    <s v="EMP020"/>
    <s v="Amaka"/>
    <s v="Nwaogwugwu"/>
    <s v="amaka.nwaogwugwu@company.com"/>
    <s v="HR Assistant"/>
    <x v="2"/>
    <n v="60000"/>
    <n v="26"/>
    <x v="0"/>
    <x v="8"/>
    <s v="Orlu"/>
    <d v="2022-07-26T00:00:00"/>
  </r>
  <r>
    <s v="EMP021"/>
    <s v="Tunde"/>
    <s v="Olawale"/>
    <s v="tunde.olawale@company.com"/>
    <s v="System Administrator"/>
    <x v="0"/>
    <n v="130000"/>
    <n v="36"/>
    <x v="1"/>
    <x v="0"/>
    <s v="Yaba"/>
    <d v="2017-11-11T00:00:00"/>
  </r>
  <r>
    <s v="EMP022"/>
    <s v="Binta"/>
    <s v="Shehu"/>
    <s v="binta.shehu@company.com"/>
    <s v="Tailor"/>
    <x v="11"/>
    <n v="40000"/>
    <n v="19"/>
    <x v="2"/>
    <x v="1"/>
    <s v="Dala"/>
    <d v="2024-03-04T00:00:00"/>
  </r>
  <r>
    <s v="EMP023"/>
    <s v="Emeka"/>
    <s v="Okeke"/>
    <s v="emeka.okeke@company.com"/>
    <s v="Store Keeper"/>
    <x v="10"/>
    <n v="58000"/>
    <n v="42"/>
    <x v="1"/>
    <x v="5"/>
    <s v="Nnewi"/>
    <d v="2014-08-23T00:00:00"/>
  </r>
  <r>
    <s v="EMP024"/>
    <s v="Lilian"/>
    <s v="Eze"/>
    <s v="lilian.eze@company.com"/>
    <s v="Pharmacist"/>
    <x v="12"/>
    <n v="145000"/>
    <n v="33"/>
    <x v="0"/>
    <x v="12"/>
    <s v="Enugu"/>
    <d v="2018-05-15T00:00:00"/>
  </r>
  <r>
    <s v="EMP025"/>
    <s v="Sadiq"/>
    <s v="Abdullahi"/>
    <s v="sadiq.abdullahi@company.com"/>
    <s v="Account Clerk"/>
    <x v="1"/>
    <n v="55000"/>
    <n v="23"/>
    <x v="2"/>
    <x v="16"/>
    <s v="Sokoto"/>
    <d v="2023-09-10T00:00:00"/>
  </r>
  <r>
    <s v="EMP026"/>
    <s v="Bose"/>
    <s v="Akin"/>
    <s v="bose.akin@company.com"/>
    <s v="Seamstress"/>
    <x v="11"/>
    <n v="42000"/>
    <n v="18"/>
    <x v="2"/>
    <x v="10"/>
    <s v="Sagamu"/>
    <d v="2024-04-01T00:00:00"/>
  </r>
  <r>
    <s v="EMP027"/>
    <s v="Musa"/>
    <s v="Garba"/>
    <s v="musa.garba@company.com"/>
    <s v="Cleaner"/>
    <x v="13"/>
    <n v="35000"/>
    <n v="44"/>
    <x v="1"/>
    <x v="3"/>
    <s v="Kaduna"/>
    <d v="2016-02-14T00:00:00"/>
  </r>
  <r>
    <s v="EMP028"/>
    <s v="Jessica"/>
    <s v="Taylor"/>
    <s v="jessica.taylor@company.com"/>
    <s v="HR Manager"/>
    <x v="2"/>
    <n v="160000"/>
    <n v="39"/>
    <x v="1"/>
    <x v="0"/>
    <s v="Victoria Island"/>
    <d v="2016-06-23T00:00:00"/>
  </r>
  <r>
    <s v="EMP029"/>
    <s v="Hassan"/>
    <s v="Aliyu"/>
    <s v="hassan.aliyu@company.com"/>
    <s v="Forklift Operator"/>
    <x v="10"/>
    <n v="65000"/>
    <n v="30"/>
    <x v="0"/>
    <x v="3"/>
    <s v="Zaria"/>
    <d v="2020-08-07T00:00:00"/>
  </r>
  <r>
    <s v="EMP030"/>
    <s v="Praise"/>
    <s v="Okoro"/>
    <s v="praise.okoro@company.com"/>
    <s v="UI/UX Designer"/>
    <x v="7"/>
    <n v="105000"/>
    <n v="24"/>
    <x v="2"/>
    <x v="2"/>
    <s v="Umuahia"/>
    <d v="2023-05-17T00:00:00"/>
  </r>
  <r>
    <s v="EMP031"/>
    <s v="Daniel"/>
    <s v="Smith"/>
    <s v="daniel.smith@company.com"/>
    <s v="Auditor"/>
    <x v="1"/>
    <n v="135000"/>
    <n v="46"/>
    <x v="1"/>
    <x v="17"/>
    <s v="Abuja"/>
    <d v="2015-01-09T00:00:00"/>
  </r>
  <r>
    <s v="EMP032"/>
    <s v="Sophia"/>
    <s v="Brown"/>
    <s v="sophia.brown@company.com"/>
    <s v="Customer Success"/>
    <x v="6"/>
    <n v="70000"/>
    <n v="28"/>
    <x v="0"/>
    <x v="0"/>
    <s v="Agege"/>
    <d v="2022-11-05T00:00:00"/>
  </r>
  <r>
    <s v="EMP033"/>
    <s v="Abdul"/>
    <s v="Rahman"/>
    <s v="abdul.rahman@company.com"/>
    <s v="Procurement Officer"/>
    <x v="5"/>
    <n v="95000"/>
    <n v="35"/>
    <x v="1"/>
    <x v="1"/>
    <s v="Kano"/>
    <d v="2019-09-29T00:00:00"/>
  </r>
  <r>
    <s v="EMP034"/>
    <s v="Henry"/>
    <s v="Ojo"/>
    <s v="henry.ojo@company.com"/>
    <s v="Electrician"/>
    <x v="13"/>
    <n v="78000"/>
    <n v="41"/>
    <x v="1"/>
    <x v="18"/>
    <s v="Ado-Ekiti"/>
    <d v="2017-10-10T00:00:00"/>
  </r>
  <r>
    <s v="EMP035"/>
    <s v="Fatimah"/>
    <s v="Yunus"/>
    <s v="fatimah.yunus@company.com"/>
    <s v="Makeup Artist"/>
    <x v="7"/>
    <n v="60000"/>
    <n v="22"/>
    <x v="2"/>
    <x v="13"/>
    <s v="Offa"/>
    <d v="2022-12-01T00:00:00"/>
  </r>
  <r>
    <s v="EMP036"/>
    <s v="Godwin"/>
    <s v="Esosa"/>
    <s v="godwin.esosa@company.com"/>
    <s v="Machine Operator"/>
    <x v="11"/>
    <n v="85000"/>
    <n v="37"/>
    <x v="1"/>
    <x v="19"/>
    <s v="Benin City"/>
    <d v="2018-04-18T00:00:00"/>
  </r>
  <r>
    <s v="EMP037"/>
    <s v="Mercy"/>
    <s v="Ade"/>
    <s v="mery.ade@company.com"/>
    <s v="Seamstress"/>
    <x v="11"/>
    <n v="41000"/>
    <n v="19"/>
    <x v="2"/>
    <x v="4"/>
    <s v="Ogbomosho"/>
    <d v="2024-06-20T00:00:00"/>
  </r>
  <r>
    <s v="EMP038"/>
    <s v="Sadiya"/>
    <s v="Mohammed"/>
    <s v="sadiya.mohammed@company.com"/>
    <s v="Nurse"/>
    <x v="12"/>
    <n v="120000"/>
    <n v="29"/>
    <x v="0"/>
    <x v="3"/>
    <s v="Kaduna"/>
    <d v="2021-08-15T00:00:00"/>
  </r>
  <r>
    <s v="EMP039"/>
    <s v="Stephen"/>
    <s v="King"/>
    <s v="stephen.king@company.com"/>
    <s v="Quality Control"/>
    <x v="11"/>
    <n v="95000"/>
    <n v="45"/>
    <x v="1"/>
    <x v="10"/>
    <s v="Ota"/>
    <d v="2016-07-07T00:00:00"/>
  </r>
  <r>
    <s v="EMP040"/>
    <s v="Blessing"/>
    <s v="Effiong"/>
    <s v="blessing.effiong@company.com"/>
    <s v="Cashier"/>
    <x v="1"/>
    <n v="52000"/>
    <n v="20"/>
    <x v="2"/>
    <x v="20"/>
    <s v="Calabar"/>
    <d v="2023-10-10T00:00:00"/>
  </r>
  <r>
    <s v="EMP041"/>
    <s v="Aliyu"/>
    <s v="Sani"/>
    <s v="aliyu.sani@company.com"/>
    <s v="Truck Driver"/>
    <x v="10"/>
    <n v="75000"/>
    <n v="52"/>
    <x v="3"/>
    <x v="6"/>
    <s v="Daura"/>
    <d v="2013-03-03T00:00:00"/>
  </r>
  <r>
    <s v="EMP042"/>
    <s v="Ngozi"/>
    <s v="Okorie"/>
    <s v="ngozi.okorie@company.com"/>
    <s v="Caterer"/>
    <x v="6"/>
    <n v="45000"/>
    <n v="48"/>
    <x v="1"/>
    <x v="2"/>
    <s v="Aba"/>
    <d v="2012-09-14T00:00:00"/>
  </r>
  <r>
    <s v="EMP043"/>
    <s v="Ismaila"/>
    <s v="Danladi"/>
    <s v="ismaila.danladi@company.com"/>
    <s v="Security Supervisor"/>
    <x v="9"/>
    <n v="90000"/>
    <n v="43"/>
    <x v="1"/>
    <x v="21"/>
    <s v="Jos"/>
    <d v="2015-05-06T00:00:00"/>
  </r>
  <r>
    <s v="EMP044"/>
    <s v="Rachel"/>
    <s v="Green"/>
    <s v="rachel.green@company.com"/>
    <s v="Social Media Manager"/>
    <x v="3"/>
    <n v="95000"/>
    <n v="26"/>
    <x v="0"/>
    <x v="0"/>
    <s v="Ikeja"/>
    <d v="2022-08-18T00:00:00"/>
  </r>
  <r>
    <s v="EMP045"/>
    <s v="Ahmed"/>
    <s v="Suleiman"/>
    <s v="ahmed.suleiman@company.com"/>
    <s v="Mechanic"/>
    <x v="13"/>
    <n v="72000"/>
    <n v="39"/>
    <x v="1"/>
    <x v="1"/>
    <s v="Kano"/>
    <d v="2016-01-29T00:00:00"/>
  </r>
  <r>
    <s v="EMP046"/>
    <s v="Peace"/>
    <s v="Udo"/>
    <s v="peace.udo@company.com"/>
    <s v="Secretary"/>
    <x v="8"/>
    <n v="60000"/>
    <n v="24"/>
    <x v="2"/>
    <x v="22"/>
    <s v="Uyo"/>
    <d v="2023-03-21T00:00:00"/>
  </r>
  <r>
    <s v="EMP047"/>
    <s v="Kenny"/>
    <s v="Rogers"/>
    <s v="kenny.rogers@company.com"/>
    <s v="Photographer"/>
    <x v="7"/>
    <n v="88000"/>
    <n v="36"/>
    <x v="1"/>
    <x v="0"/>
    <s v="Ajah"/>
    <d v="2019-12-09T00:00:00"/>
  </r>
  <r>
    <s v="EMP048"/>
    <s v="Halima"/>
    <s v="Yusuf"/>
    <s v="halima.yusuf@company.com"/>
    <s v="Tailor"/>
    <x v="11"/>
    <n v="42000"/>
    <n v="18"/>
    <x v="2"/>
    <x v="23"/>
    <s v="Birnin Kebbi"/>
    <d v="2024-04-11T00:00:00"/>
  </r>
  <r>
    <s v="EMP049"/>
    <s v="Dele"/>
    <s v="Oseni"/>
    <s v="dele.oseni@company.com"/>
    <s v="Delivery Rider"/>
    <x v="10"/>
    <n v="54000"/>
    <n v="21"/>
    <x v="2"/>
    <x v="10"/>
    <s v="Ijebu Ode"/>
    <d v="2023-07-01T00:00:00"/>
  </r>
  <r>
    <s v="EMP050"/>
    <s v="Temitope"/>
    <s v="Ajibola"/>
    <s v="temitope.ajibola@company.com"/>
    <s v="Inventory Officer"/>
    <x v="10"/>
    <n v="92000"/>
    <n v="33"/>
    <x v="0"/>
    <x v="7"/>
    <s v="Ondo"/>
    <d v="2019-04-18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EMP001"/>
    <s v="John"/>
    <s v="Okafor"/>
    <s v="john.okafor@company.com"/>
    <x v="0"/>
    <s v="IT"/>
    <n v="85000"/>
    <n v="28"/>
    <s v="Youth"/>
    <s v="Lagos"/>
    <s v="Ikeja"/>
    <d v="2020-01-15T00:00:00"/>
  </r>
  <r>
    <s v="EMP002"/>
    <s v="Aisha"/>
    <s v="Bello"/>
    <s v="aisha.bello@company.com"/>
    <x v="1"/>
    <s v="Finance"/>
    <n v="72000"/>
    <n v="32"/>
    <s v="Youth"/>
    <s v="Kano"/>
    <s v="Nasarawa"/>
    <d v="2019-03-10T00:00:00"/>
  </r>
  <r>
    <s v="EMP003"/>
    <s v="Chinedu"/>
    <s v="Eze"/>
    <s v="chinedu.eze@company.com"/>
    <x v="2"/>
    <s v="IT"/>
    <n v="120000"/>
    <n v="26"/>
    <s v="Youth"/>
    <s v="Abia"/>
    <s v="Umuahia"/>
    <d v="2021-06-01T00:00:00"/>
  </r>
  <r>
    <s v="EMP004"/>
    <s v="Fatima"/>
    <s v="Abdul"/>
    <s v="fatima.abdul@company.com"/>
    <x v="3"/>
    <s v="HR"/>
    <n v="65000"/>
    <n v="35"/>
    <s v="Adult"/>
    <s v="Kaduna"/>
    <s v="Zaria"/>
    <d v="2018-09-12T00:00:00"/>
  </r>
  <r>
    <s v="EMP005"/>
    <s v="David"/>
    <s v="Adegoke"/>
    <s v="david.adegoke@company.com"/>
    <x v="4"/>
    <s v="Marketing"/>
    <n v="70000"/>
    <n v="29"/>
    <s v="Youth"/>
    <s v="Oyo"/>
    <s v="Ibadan"/>
    <d v="2022-02-20T00:00:00"/>
  </r>
  <r>
    <s v="EMP006"/>
    <s v="Blessing"/>
    <s v="Nwoye"/>
    <s v="blessing.nwoye@company.com"/>
    <x v="5"/>
    <s v="Sales"/>
    <n v="60000"/>
    <n v="24"/>
    <s v="Teenager"/>
    <s v="Anambra"/>
    <s v="Awka"/>
    <d v="2023-01-08T00:00:00"/>
  </r>
  <r>
    <s v="EMP007"/>
    <s v="Michael"/>
    <s v="James"/>
    <s v="michael.james@company.com"/>
    <x v="6"/>
    <s v="Operations"/>
    <n v="150000"/>
    <n v="41"/>
    <s v="Adult"/>
    <s v="Lagos"/>
    <s v="Lekki"/>
    <d v="2017-04-17T00:00:00"/>
  </r>
  <r>
    <s v="EMP008"/>
    <s v="Zainab"/>
    <s v="Musa"/>
    <s v="zainab.musa@company.com"/>
    <x v="7"/>
    <s v="Support"/>
    <n v="55000"/>
    <n v="22"/>
    <s v="Teenager"/>
    <s v="Katsina"/>
    <s v="Funtua"/>
    <d v="2023-08-03T00:00:00"/>
  </r>
  <r>
    <s v="EMP009"/>
    <s v="Samuel"/>
    <s v="Ajayi"/>
    <s v="samuel.ajayi@company.com"/>
    <x v="8"/>
    <s v="Creative"/>
    <n v="68000"/>
    <n v="27"/>
    <s v="Youth"/>
    <s v="Ondo"/>
    <s v="Akure"/>
    <d v="2021-11-14T00:00:00"/>
  </r>
  <r>
    <s v="EMP010"/>
    <s v="Grace"/>
    <s v="Obi"/>
    <s v="grace.obi@company.com"/>
    <x v="9"/>
    <s v="Admin"/>
    <n v="45000"/>
    <n v="21"/>
    <s v="Teenager"/>
    <s v="Imo"/>
    <s v="Owerri"/>
    <d v="2024-05-01T00:00:00"/>
  </r>
  <r>
    <s v="EMP011"/>
    <s v="Ibrahim"/>
    <s v="Sadiq"/>
    <s v="ibrahim.sadiq@company.com"/>
    <x v="10"/>
    <s v="Security"/>
    <n v="50000"/>
    <n v="45"/>
    <s v="Adult"/>
    <s v="Niger"/>
    <s v="Minna"/>
    <d v="2016-12-05T00:00:00"/>
  </r>
  <r>
    <s v="EMP012"/>
    <s v="Mary"/>
    <s v="Johnson"/>
    <s v="mary.johnson@company.com"/>
    <x v="11"/>
    <s v="IT"/>
    <n v="110000"/>
    <n v="31"/>
    <s v="Youth"/>
    <s v="Lagos"/>
    <s v="Surulere"/>
    <d v="2019-07-19T00:00:00"/>
  </r>
  <r>
    <s v="EMP013"/>
    <s v="Peter"/>
    <s v="Balogun"/>
    <s v="peter.balogun@company.com"/>
    <x v="12"/>
    <s v="Logistics"/>
    <n v="48000"/>
    <n v="39"/>
    <s v="Adult"/>
    <s v="Ogun"/>
    <s v="Abeokuta"/>
    <d v="2015-03-30T00:00:00"/>
  </r>
  <r>
    <s v="EMP014"/>
    <s v="Esther"/>
    <s v="Alabi"/>
    <s v="esther.alabi@company.com"/>
    <x v="13"/>
    <s v="Marketing"/>
    <n v="65000"/>
    <n v="25"/>
    <s v="Teenager"/>
    <s v="Osun"/>
    <s v="Osogbo"/>
    <d v="2022-09-09T00:00:00"/>
  </r>
  <r>
    <s v="EMP015"/>
    <s v="Usman"/>
    <s v="Abubakar"/>
    <s v="usman.abubakar@company.com"/>
    <x v="14"/>
    <s v="Logistics"/>
    <n v="70000"/>
    <n v="34"/>
    <s v="Youth"/>
    <s v="Kaduna"/>
    <s v="Kafanchan"/>
    <d v="2020-10-18T00:00:00"/>
  </r>
  <r>
    <s v="EMP016"/>
    <s v="Ruth"/>
    <s v="Chukwu"/>
    <s v="ruth.chukwu@company.com"/>
    <x v="15"/>
    <s v="IT"/>
    <n v="115000"/>
    <n v="23"/>
    <s v="Teenager"/>
    <s v="Enugu"/>
    <s v="Nsukka"/>
    <d v="2023-02-12T00:00:00"/>
  </r>
  <r>
    <s v="EMP017"/>
    <s v="Yusuf"/>
    <s v="Lawal"/>
    <s v="yusuf.lawal@company.com"/>
    <x v="16"/>
    <s v="Sales"/>
    <n v="140000"/>
    <n v="38"/>
    <s v="Adult"/>
    <s v="Kwara"/>
    <s v="Ilorin"/>
    <d v="2018-06-06T00:00:00"/>
  </r>
  <r>
    <s v="EMP018"/>
    <s v="Hauwa"/>
    <s v="Sule"/>
    <s v="hauwa.sule@company.com"/>
    <x v="17"/>
    <s v="Admin"/>
    <n v="50000"/>
    <n v="20"/>
    <s v="Teenager"/>
    <s v="Bauchi"/>
    <s v="Bauchi"/>
    <d v="2024-01-22T00:00:00"/>
  </r>
  <r>
    <s v="EMP019"/>
    <s v="Kelvin"/>
    <s v="Uche"/>
    <s v="kelvin.uche@company.com"/>
    <x v="18"/>
    <s v="IT"/>
    <n v="90000"/>
    <n v="29"/>
    <s v="Youth"/>
    <s v="Delta"/>
    <s v="Asaba"/>
    <d v="2021-03-15T00:00:00"/>
  </r>
  <r>
    <s v="EMP020"/>
    <s v="Amaka"/>
    <s v="Nwaogwugwu"/>
    <s v="amaka.nwaogwugwu@company.com"/>
    <x v="19"/>
    <s v="HR"/>
    <n v="60000"/>
    <n v="26"/>
    <s v="Youth"/>
    <s v="Imo"/>
    <s v="Orlu"/>
    <d v="2022-07-26T00:00:00"/>
  </r>
  <r>
    <s v="EMP021"/>
    <s v="Tunde"/>
    <s v="Olawale"/>
    <s v="tunde.olawale@company.com"/>
    <x v="20"/>
    <s v="IT"/>
    <n v="130000"/>
    <n v="36"/>
    <s v="Adult"/>
    <s v="Lagos"/>
    <s v="Yaba"/>
    <d v="2017-11-11T00:00:00"/>
  </r>
  <r>
    <s v="EMP022"/>
    <s v="Binta"/>
    <s v="Shehu"/>
    <s v="binta.shehu@company.com"/>
    <x v="21"/>
    <s v="Production"/>
    <n v="40000"/>
    <n v="19"/>
    <s v="Teenager"/>
    <s v="Kano"/>
    <s v="Dala"/>
    <d v="2024-03-04T00:00:00"/>
  </r>
  <r>
    <s v="EMP023"/>
    <s v="Emeka"/>
    <s v="Okeke"/>
    <s v="emeka.okeke@company.com"/>
    <x v="22"/>
    <s v="Logistics"/>
    <n v="58000"/>
    <n v="42"/>
    <s v="Adult"/>
    <s v="Anambra"/>
    <s v="Nnewi"/>
    <d v="2014-08-23T00:00:00"/>
  </r>
  <r>
    <s v="EMP024"/>
    <s v="Lilian"/>
    <s v="Eze"/>
    <s v="lilian.eze@company.com"/>
    <x v="23"/>
    <s v="Health"/>
    <n v="145000"/>
    <n v="33"/>
    <s v="Youth"/>
    <s v="Enugu"/>
    <s v="Enugu"/>
    <d v="2018-05-15T00:00:00"/>
  </r>
  <r>
    <s v="EMP025"/>
    <s v="Sadiq"/>
    <s v="Abdullahi"/>
    <s v="sadiq.abdullahi@company.com"/>
    <x v="24"/>
    <s v="Finance"/>
    <n v="55000"/>
    <n v="23"/>
    <s v="Teenager"/>
    <s v="Sokoto"/>
    <s v="Sokoto"/>
    <d v="2023-09-10T00:00:00"/>
  </r>
  <r>
    <s v="EMP026"/>
    <s v="Bose"/>
    <s v="Akin"/>
    <s v="bose.akin@company.com"/>
    <x v="25"/>
    <s v="Production"/>
    <n v="42000"/>
    <n v="18"/>
    <s v="Teenager"/>
    <s v="Ogun"/>
    <s v="Sagamu"/>
    <d v="2024-04-01T00:00:00"/>
  </r>
  <r>
    <s v="EMP027"/>
    <s v="Musa"/>
    <s v="Garba"/>
    <s v="musa.garba@company.com"/>
    <x v="26"/>
    <s v="Maintenance"/>
    <n v="35000"/>
    <n v="44"/>
    <s v="Adult"/>
    <s v="Kaduna"/>
    <s v="Kaduna"/>
    <d v="2016-02-14T00:00:00"/>
  </r>
  <r>
    <s v="EMP028"/>
    <s v="Jessica"/>
    <s v="Taylor"/>
    <s v="jessica.taylor@company.com"/>
    <x v="27"/>
    <s v="HR"/>
    <n v="160000"/>
    <n v="39"/>
    <s v="Adult"/>
    <s v="Lagos"/>
    <s v="Victoria Island"/>
    <d v="2016-06-23T00:00:00"/>
  </r>
  <r>
    <s v="EMP029"/>
    <s v="Hassan"/>
    <s v="Aliyu"/>
    <s v="hassan.aliyu@company.com"/>
    <x v="28"/>
    <s v="Logistics"/>
    <n v="65000"/>
    <n v="30"/>
    <s v="Youth"/>
    <s v="Kaduna"/>
    <s v="Zaria"/>
    <d v="2020-08-07T00:00:00"/>
  </r>
  <r>
    <s v="EMP030"/>
    <s v="Praise"/>
    <s v="Okoro"/>
    <s v="praise.okoro@company.com"/>
    <x v="29"/>
    <s v="Creative"/>
    <n v="105000"/>
    <n v="24"/>
    <s v="Teenager"/>
    <s v="Abia"/>
    <s v="Umuahia"/>
    <d v="2023-05-17T00:00:00"/>
  </r>
  <r>
    <s v="EMP031"/>
    <s v="Daniel"/>
    <s v="Smith"/>
    <s v="daniel.smith@company.com"/>
    <x v="30"/>
    <s v="Finance"/>
    <n v="135000"/>
    <n v="46"/>
    <s v="Adult"/>
    <s v="FCT"/>
    <s v="Abuja"/>
    <d v="2015-01-09T00:00:00"/>
  </r>
  <r>
    <s v="EMP032"/>
    <s v="Sophia"/>
    <s v="Brown"/>
    <s v="sophia.brown@company.com"/>
    <x v="31"/>
    <s v="Support"/>
    <n v="70000"/>
    <n v="28"/>
    <s v="Youth"/>
    <s v="Lagos"/>
    <s v="Agege"/>
    <d v="2022-11-05T00:00:00"/>
  </r>
  <r>
    <s v="EMP033"/>
    <s v="Abdul"/>
    <s v="Rahman"/>
    <s v="abdul.rahman@company.com"/>
    <x v="32"/>
    <s v="Operations"/>
    <n v="95000"/>
    <n v="35"/>
    <s v="Adult"/>
    <s v="Kano"/>
    <s v="Kano"/>
    <d v="2019-09-29T00:00:00"/>
  </r>
  <r>
    <s v="EMP034"/>
    <s v="Henry"/>
    <s v="Ojo"/>
    <s v="henry.ojo@company.com"/>
    <x v="33"/>
    <s v="Maintenance"/>
    <n v="78000"/>
    <n v="41"/>
    <s v="Adult"/>
    <s v="Ekiti"/>
    <s v="Ado-Ekiti"/>
    <d v="2017-10-10T00:00:00"/>
  </r>
  <r>
    <s v="EMP035"/>
    <s v="Fatimah"/>
    <s v="Yunus"/>
    <s v="fatimah.yunus@company.com"/>
    <x v="34"/>
    <s v="Creative"/>
    <n v="60000"/>
    <n v="22"/>
    <s v="Teenager"/>
    <s v="Kwara"/>
    <s v="Offa"/>
    <d v="2022-12-01T00:00:00"/>
  </r>
  <r>
    <s v="EMP036"/>
    <s v="Godwin"/>
    <s v="Esosa"/>
    <s v="godwin.esosa@company.com"/>
    <x v="35"/>
    <s v="Production"/>
    <n v="85000"/>
    <n v="37"/>
    <s v="Adult"/>
    <s v="Edo"/>
    <s v="Benin City"/>
    <d v="2018-04-18T00:00:00"/>
  </r>
  <r>
    <s v="EMP037"/>
    <s v="Mercy"/>
    <s v="Ade"/>
    <s v="mery.ade@company.com"/>
    <x v="25"/>
    <s v="Production"/>
    <n v="41000"/>
    <n v="19"/>
    <s v="Teenager"/>
    <s v="Oyo"/>
    <s v="Ogbomosho"/>
    <d v="2024-06-20T00:00:00"/>
  </r>
  <r>
    <s v="EMP038"/>
    <s v="Sadiya"/>
    <s v="Mohammed"/>
    <s v="sadiya.mohammed@company.com"/>
    <x v="36"/>
    <s v="Health"/>
    <n v="120000"/>
    <n v="29"/>
    <s v="Youth"/>
    <s v="Kaduna"/>
    <s v="Kaduna"/>
    <d v="2021-08-15T00:00:00"/>
  </r>
  <r>
    <s v="EMP039"/>
    <s v="Stephen"/>
    <s v="King"/>
    <s v="stephen.king@company.com"/>
    <x v="37"/>
    <s v="Production"/>
    <n v="95000"/>
    <n v="45"/>
    <s v="Adult"/>
    <s v="Ogun"/>
    <s v="Ota"/>
    <d v="2016-07-07T00:00:00"/>
  </r>
  <r>
    <s v="EMP040"/>
    <s v="Blessing"/>
    <s v="Effiong"/>
    <s v="blessing.effiong@company.com"/>
    <x v="38"/>
    <s v="Finance"/>
    <n v="52000"/>
    <n v="20"/>
    <s v="Teenager"/>
    <s v="Cross River"/>
    <s v="Calabar"/>
    <d v="2023-10-10T00:00:00"/>
  </r>
  <r>
    <s v="EMP041"/>
    <s v="Aliyu"/>
    <s v="Sani"/>
    <s v="aliyu.sani@company.com"/>
    <x v="39"/>
    <s v="Logistics"/>
    <n v="75000"/>
    <n v="52"/>
    <s v="Old"/>
    <s v="Katsina"/>
    <s v="Daura"/>
    <d v="2013-03-03T00:00:00"/>
  </r>
  <r>
    <s v="EMP042"/>
    <s v="Ngozi"/>
    <s v="Okorie"/>
    <s v="ngozi.okorie@company.com"/>
    <x v="40"/>
    <s v="Support"/>
    <n v="45000"/>
    <n v="48"/>
    <s v="Adult"/>
    <s v="Abia"/>
    <s v="Aba"/>
    <d v="2012-09-14T00:00:00"/>
  </r>
  <r>
    <s v="EMP043"/>
    <s v="Ismaila"/>
    <s v="Danladi"/>
    <s v="ismaila.danladi@company.com"/>
    <x v="41"/>
    <s v="Security"/>
    <n v="90000"/>
    <n v="43"/>
    <s v="Adult"/>
    <s v="Plateau"/>
    <s v="Jos"/>
    <d v="2015-05-06T00:00:00"/>
  </r>
  <r>
    <s v="EMP044"/>
    <s v="Rachel"/>
    <s v="Green"/>
    <s v="rachel.green@company.com"/>
    <x v="42"/>
    <s v="Marketing"/>
    <n v="95000"/>
    <n v="26"/>
    <s v="Youth"/>
    <s v="Lagos"/>
    <s v="Ikeja"/>
    <d v="2022-08-18T00:00:00"/>
  </r>
  <r>
    <s v="EMP045"/>
    <s v="Ahmed"/>
    <s v="Suleiman"/>
    <s v="ahmed.suleiman@company.com"/>
    <x v="43"/>
    <s v="Maintenance"/>
    <n v="72000"/>
    <n v="39"/>
    <s v="Adult"/>
    <s v="Kano"/>
    <s v="Kano"/>
    <d v="2016-01-29T00:00:00"/>
  </r>
  <r>
    <s v="EMP046"/>
    <s v="Peace"/>
    <s v="Udo"/>
    <s v="peace.udo@company.com"/>
    <x v="44"/>
    <s v="Admin"/>
    <n v="60000"/>
    <n v="24"/>
    <s v="Teenager"/>
    <s v="Akwa Ibom"/>
    <s v="Uyo"/>
    <d v="2023-03-21T00:00:00"/>
  </r>
  <r>
    <s v="EMP047"/>
    <s v="Kenny"/>
    <s v="Rogers"/>
    <s v="kenny.rogers@company.com"/>
    <x v="45"/>
    <s v="Creative"/>
    <n v="88000"/>
    <n v="36"/>
    <s v="Adult"/>
    <s v="Lagos"/>
    <s v="Ajah"/>
    <d v="2019-12-09T00:00:00"/>
  </r>
  <r>
    <s v="EMP048"/>
    <s v="Halima"/>
    <s v="Yusuf"/>
    <s v="halima.yusuf@company.com"/>
    <x v="21"/>
    <s v="Production"/>
    <n v="42000"/>
    <n v="18"/>
    <s v="Teenager"/>
    <s v="Kebbi"/>
    <s v="Birnin Kebbi"/>
    <d v="2024-04-11T00:00:00"/>
  </r>
  <r>
    <s v="EMP049"/>
    <s v="Dele"/>
    <s v="Oseni"/>
    <s v="dele.oseni@company.com"/>
    <x v="46"/>
    <s v="Logistics"/>
    <n v="54000"/>
    <n v="21"/>
    <s v="Teenager"/>
    <s v="Ogun"/>
    <s v="Ijebu Ode"/>
    <d v="2023-07-01T00:00:00"/>
  </r>
  <r>
    <s v="EMP050"/>
    <s v="Temitope"/>
    <s v="Ajibola"/>
    <s v="temitope.ajibola@company.com"/>
    <x v="47"/>
    <s v="Logistics"/>
    <n v="92000"/>
    <n v="33"/>
    <s v="Youth"/>
    <s v="Ondo"/>
    <s v="Ondo"/>
    <d v="2019-04-18T00:00:00"/>
  </r>
  <r>
    <m/>
    <m/>
    <m/>
    <m/>
    <x v="48"/>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5" cacheId="14"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
  <location ref="A94:B119" firstHeaderRow="1" firstDataRow="1" firstDataCol="1"/>
  <pivotFields count="12">
    <pivotField compact="0" showAll="0"/>
    <pivotField compact="0" showAll="0"/>
    <pivotField compact="0" showAll="0"/>
    <pivotField compact="0" showAll="0"/>
    <pivotField compact="0" showAll="0"/>
    <pivotField compact="0" showAll="0">
      <items count="15">
        <item x="8"/>
        <item x="7"/>
        <item x="1"/>
        <item x="12"/>
        <item x="2"/>
        <item x="0"/>
        <item x="10"/>
        <item x="13"/>
        <item x="3"/>
        <item x="5"/>
        <item x="11"/>
        <item x="4"/>
        <item x="9"/>
        <item x="6"/>
        <item t="default"/>
      </items>
    </pivotField>
    <pivotField dataField="1" compact="0" showAll="0"/>
    <pivotField compact="0" showAll="0"/>
    <pivotField compact="0" showAll="0">
      <items count="7">
        <item x="1"/>
        <item m="1" x="4"/>
        <item m="1" x="5"/>
        <item x="3"/>
        <item x="2"/>
        <item x="0"/>
        <item t="default"/>
      </items>
    </pivotField>
    <pivotField axis="axisRow" compact="0" showAll="0">
      <items count="25">
        <item x="2"/>
        <item x="22"/>
        <item x="5"/>
        <item x="14"/>
        <item x="20"/>
        <item x="15"/>
        <item x="19"/>
        <item x="18"/>
        <item x="12"/>
        <item x="17"/>
        <item x="8"/>
        <item x="3"/>
        <item x="1"/>
        <item x="6"/>
        <item x="23"/>
        <item x="13"/>
        <item x="0"/>
        <item x="9"/>
        <item x="10"/>
        <item x="7"/>
        <item x="11"/>
        <item x="4"/>
        <item x="21"/>
        <item x="16"/>
        <item t="default"/>
      </items>
    </pivotField>
    <pivotField compact="0" showAll="0"/>
    <pivotField compact="0" showAll="0"/>
  </pivotFields>
  <rowFields count="1">
    <field x="9"/>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Total Salary of employees by State" fld="6" baseField="0" baseItem="0"/>
  </dataFields>
  <chartFormats count="2">
    <chartFormat chart="2"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4"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
  <location ref="A3:B18" firstHeaderRow="1" firstDataRow="1" firstDataCol="1"/>
  <pivotFields count="12">
    <pivotField compact="0" showAll="0"/>
    <pivotField compact="0" showAll="0"/>
    <pivotField compact="0" showAll="0"/>
    <pivotField compact="0" showAll="0"/>
    <pivotField compact="0" showAll="0"/>
    <pivotField axis="axisRow" compact="0" showAll="0">
      <items count="15">
        <item x="8"/>
        <item x="7"/>
        <item x="1"/>
        <item x="12"/>
        <item x="2"/>
        <item x="0"/>
        <item x="10"/>
        <item x="13"/>
        <item x="3"/>
        <item x="5"/>
        <item x="11"/>
        <item x="4"/>
        <item x="9"/>
        <item x="6"/>
        <item t="default"/>
      </items>
    </pivotField>
    <pivotField dataField="1" compact="0" showAll="0"/>
    <pivotField compact="0" showAll="0"/>
    <pivotField compact="0" showAll="0">
      <items count="7">
        <item x="1"/>
        <item m="1" x="4"/>
        <item m="1" x="5"/>
        <item x="3"/>
        <item x="2"/>
        <item x="0"/>
        <item t="default"/>
      </items>
    </pivotField>
    <pivotField compact="0" showAll="0">
      <items count="25">
        <item x="2"/>
        <item x="22"/>
        <item x="5"/>
        <item x="14"/>
        <item x="20"/>
        <item x="15"/>
        <item x="19"/>
        <item x="18"/>
        <item x="12"/>
        <item x="17"/>
        <item x="8"/>
        <item x="3"/>
        <item x="1"/>
        <item x="6"/>
        <item x="23"/>
        <item x="13"/>
        <item x="0"/>
        <item x="9"/>
        <item x="10"/>
        <item x="7"/>
        <item x="11"/>
        <item x="4"/>
        <item x="21"/>
        <item x="16"/>
        <item t="default"/>
      </items>
    </pivotField>
    <pivotField compact="0" showAll="0"/>
    <pivotField compact="0" showAll="0"/>
  </pivotFields>
  <rowFields count="1">
    <field x="5"/>
  </rowFields>
  <rowItems count="15">
    <i>
      <x/>
    </i>
    <i>
      <x v="1"/>
    </i>
    <i>
      <x v="2"/>
    </i>
    <i>
      <x v="3"/>
    </i>
    <i>
      <x v="4"/>
    </i>
    <i>
      <x v="5"/>
    </i>
    <i>
      <x v="6"/>
    </i>
    <i>
      <x v="7"/>
    </i>
    <i>
      <x v="8"/>
    </i>
    <i>
      <x v="9"/>
    </i>
    <i>
      <x v="10"/>
    </i>
    <i>
      <x v="11"/>
    </i>
    <i>
      <x v="12"/>
    </i>
    <i>
      <x v="13"/>
    </i>
    <i t="grand">
      <x/>
    </i>
  </rowItems>
  <colItems count="1">
    <i/>
  </colItems>
  <dataFields count="1">
    <dataField name="Average of Salary of an employee per department" fld="6" subtotal="average" baseField="0" baseItem="0"/>
  </dataFields>
  <formats count="70">
    <format dxfId="219">
      <pivotArea collapsedLevelsAreSubtotals="1" fieldPosition="0">
        <references count="1">
          <reference field="5" count="1" selected="0">
            <x v="0"/>
          </reference>
        </references>
      </pivotArea>
    </format>
    <format dxfId="218">
      <pivotArea collapsedLevelsAreSubtotals="1" fieldPosition="0">
        <references count="1">
          <reference field="5" count="1" selected="0">
            <x v="1"/>
          </reference>
        </references>
      </pivotArea>
    </format>
    <format dxfId="217">
      <pivotArea collapsedLevelsAreSubtotals="1" fieldPosition="0">
        <references count="1">
          <reference field="5" count="1" selected="0">
            <x v="2"/>
          </reference>
        </references>
      </pivotArea>
    </format>
    <format dxfId="216">
      <pivotArea collapsedLevelsAreSubtotals="1" fieldPosition="0">
        <references count="1">
          <reference field="5" count="1" selected="0">
            <x v="3"/>
          </reference>
        </references>
      </pivotArea>
    </format>
    <format dxfId="215">
      <pivotArea collapsedLevelsAreSubtotals="1" fieldPosition="0">
        <references count="1">
          <reference field="5" count="1" selected="0">
            <x v="4"/>
          </reference>
        </references>
      </pivotArea>
    </format>
    <format dxfId="214">
      <pivotArea collapsedLevelsAreSubtotals="1" fieldPosition="0">
        <references count="1">
          <reference field="5" count="1" selected="0">
            <x v="5"/>
          </reference>
        </references>
      </pivotArea>
    </format>
    <format dxfId="213">
      <pivotArea collapsedLevelsAreSubtotals="1" fieldPosition="0">
        <references count="1">
          <reference field="5" count="1" selected="0">
            <x v="6"/>
          </reference>
        </references>
      </pivotArea>
    </format>
    <format dxfId="212">
      <pivotArea collapsedLevelsAreSubtotals="1" fieldPosition="0">
        <references count="1">
          <reference field="5" count="1" selected="0">
            <x v="7"/>
          </reference>
        </references>
      </pivotArea>
    </format>
    <format dxfId="211">
      <pivotArea collapsedLevelsAreSubtotals="1" fieldPosition="0">
        <references count="1">
          <reference field="5" count="1" selected="0">
            <x v="8"/>
          </reference>
        </references>
      </pivotArea>
    </format>
    <format dxfId="210">
      <pivotArea collapsedLevelsAreSubtotals="1" fieldPosition="0">
        <references count="1">
          <reference field="5" count="1" selected="0">
            <x v="9"/>
          </reference>
        </references>
      </pivotArea>
    </format>
    <format dxfId="209">
      <pivotArea collapsedLevelsAreSubtotals="1" fieldPosition="0">
        <references count="1">
          <reference field="5" count="1" selected="0">
            <x v="10"/>
          </reference>
        </references>
      </pivotArea>
    </format>
    <format dxfId="208">
      <pivotArea collapsedLevelsAreSubtotals="1" fieldPosition="0">
        <references count="1">
          <reference field="5" count="1" selected="0">
            <x v="11"/>
          </reference>
        </references>
      </pivotArea>
    </format>
    <format dxfId="207">
      <pivotArea collapsedLevelsAreSubtotals="1" fieldPosition="0">
        <references count="1">
          <reference field="5" count="1" selected="0">
            <x v="12"/>
          </reference>
        </references>
      </pivotArea>
    </format>
    <format dxfId="206">
      <pivotArea collapsedLevelsAreSubtotals="1" fieldPosition="0">
        <references count="1">
          <reference field="5" count="1" selected="0">
            <x v="13"/>
          </reference>
        </references>
      </pivotArea>
    </format>
    <format dxfId="205">
      <pivotArea collapsedLevelsAreSubtotals="1" fieldPosition="0">
        <references count="1">
          <reference field="5" count="1" selected="0">
            <x v="0"/>
          </reference>
        </references>
      </pivotArea>
    </format>
    <format dxfId="204">
      <pivotArea collapsedLevelsAreSubtotals="1" fieldPosition="0">
        <references count="1">
          <reference field="5" count="1" selected="0">
            <x v="1"/>
          </reference>
        </references>
      </pivotArea>
    </format>
    <format dxfId="203">
      <pivotArea collapsedLevelsAreSubtotals="1" fieldPosition="0">
        <references count="1">
          <reference field="5" count="1" selected="0">
            <x v="2"/>
          </reference>
        </references>
      </pivotArea>
    </format>
    <format dxfId="202">
      <pivotArea collapsedLevelsAreSubtotals="1" fieldPosition="0">
        <references count="1">
          <reference field="5" count="1" selected="0">
            <x v="3"/>
          </reference>
        </references>
      </pivotArea>
    </format>
    <format dxfId="201">
      <pivotArea collapsedLevelsAreSubtotals="1" fieldPosition="0">
        <references count="1">
          <reference field="5" count="1" selected="0">
            <x v="4"/>
          </reference>
        </references>
      </pivotArea>
    </format>
    <format dxfId="200">
      <pivotArea collapsedLevelsAreSubtotals="1" fieldPosition="0">
        <references count="1">
          <reference field="5" count="1" selected="0">
            <x v="5"/>
          </reference>
        </references>
      </pivotArea>
    </format>
    <format dxfId="199">
      <pivotArea collapsedLevelsAreSubtotals="1" fieldPosition="0">
        <references count="1">
          <reference field="5" count="1" selected="0">
            <x v="6"/>
          </reference>
        </references>
      </pivotArea>
    </format>
    <format dxfId="198">
      <pivotArea collapsedLevelsAreSubtotals="1" fieldPosition="0">
        <references count="1">
          <reference field="5" count="1" selected="0">
            <x v="7"/>
          </reference>
        </references>
      </pivotArea>
    </format>
    <format dxfId="197">
      <pivotArea collapsedLevelsAreSubtotals="1" fieldPosition="0">
        <references count="1">
          <reference field="5" count="1" selected="0">
            <x v="8"/>
          </reference>
        </references>
      </pivotArea>
    </format>
    <format dxfId="196">
      <pivotArea collapsedLevelsAreSubtotals="1" fieldPosition="0">
        <references count="1">
          <reference field="5" count="1" selected="0">
            <x v="9"/>
          </reference>
        </references>
      </pivotArea>
    </format>
    <format dxfId="195">
      <pivotArea collapsedLevelsAreSubtotals="1" fieldPosition="0">
        <references count="1">
          <reference field="5" count="1" selected="0">
            <x v="10"/>
          </reference>
        </references>
      </pivotArea>
    </format>
    <format dxfId="194">
      <pivotArea collapsedLevelsAreSubtotals="1" fieldPosition="0">
        <references count="1">
          <reference field="5" count="1" selected="0">
            <x v="11"/>
          </reference>
        </references>
      </pivotArea>
    </format>
    <format dxfId="193">
      <pivotArea collapsedLevelsAreSubtotals="1" fieldPosition="0">
        <references count="1">
          <reference field="5" count="1" selected="0">
            <x v="12"/>
          </reference>
        </references>
      </pivotArea>
    </format>
    <format dxfId="192">
      <pivotArea collapsedLevelsAreSubtotals="1" fieldPosition="0">
        <references count="1">
          <reference field="5" count="1" selected="0">
            <x v="13"/>
          </reference>
        </references>
      </pivotArea>
    </format>
    <format dxfId="191">
      <pivotArea collapsedLevelsAreSubtotals="1" fieldPosition="0">
        <references count="1">
          <reference field="5" count="1" selected="0">
            <x v="0"/>
          </reference>
        </references>
      </pivotArea>
    </format>
    <format dxfId="190">
      <pivotArea collapsedLevelsAreSubtotals="1" fieldPosition="0">
        <references count="1">
          <reference field="5" count="1" selected="0">
            <x v="1"/>
          </reference>
        </references>
      </pivotArea>
    </format>
    <format dxfId="189">
      <pivotArea collapsedLevelsAreSubtotals="1" fieldPosition="0">
        <references count="1">
          <reference field="5" count="1" selected="0">
            <x v="2"/>
          </reference>
        </references>
      </pivotArea>
    </format>
    <format dxfId="188">
      <pivotArea collapsedLevelsAreSubtotals="1" fieldPosition="0">
        <references count="1">
          <reference field="5" count="1" selected="0">
            <x v="3"/>
          </reference>
        </references>
      </pivotArea>
    </format>
    <format dxfId="187">
      <pivotArea collapsedLevelsAreSubtotals="1" fieldPosition="0">
        <references count="1">
          <reference field="5" count="1" selected="0">
            <x v="4"/>
          </reference>
        </references>
      </pivotArea>
    </format>
    <format dxfId="186">
      <pivotArea collapsedLevelsAreSubtotals="1" fieldPosition="0">
        <references count="1">
          <reference field="5" count="1" selected="0">
            <x v="5"/>
          </reference>
        </references>
      </pivotArea>
    </format>
    <format dxfId="185">
      <pivotArea collapsedLevelsAreSubtotals="1" fieldPosition="0">
        <references count="1">
          <reference field="5" count="1" selected="0">
            <x v="6"/>
          </reference>
        </references>
      </pivotArea>
    </format>
    <format dxfId="184">
      <pivotArea collapsedLevelsAreSubtotals="1" fieldPosition="0">
        <references count="1">
          <reference field="5" count="1" selected="0">
            <x v="7"/>
          </reference>
        </references>
      </pivotArea>
    </format>
    <format dxfId="183">
      <pivotArea collapsedLevelsAreSubtotals="1" fieldPosition="0">
        <references count="1">
          <reference field="5" count="1" selected="0">
            <x v="8"/>
          </reference>
        </references>
      </pivotArea>
    </format>
    <format dxfId="182">
      <pivotArea collapsedLevelsAreSubtotals="1" fieldPosition="0">
        <references count="1">
          <reference field="5" count="1" selected="0">
            <x v="9"/>
          </reference>
        </references>
      </pivotArea>
    </format>
    <format dxfId="181">
      <pivotArea collapsedLevelsAreSubtotals="1" fieldPosition="0">
        <references count="1">
          <reference field="5" count="1" selected="0">
            <x v="10"/>
          </reference>
        </references>
      </pivotArea>
    </format>
    <format dxfId="180">
      <pivotArea collapsedLevelsAreSubtotals="1" fieldPosition="0">
        <references count="1">
          <reference field="5" count="1" selected="0">
            <x v="11"/>
          </reference>
        </references>
      </pivotArea>
    </format>
    <format dxfId="179">
      <pivotArea collapsedLevelsAreSubtotals="1" fieldPosition="0">
        <references count="1">
          <reference field="5" count="1" selected="0">
            <x v="12"/>
          </reference>
        </references>
      </pivotArea>
    </format>
    <format dxfId="178">
      <pivotArea collapsedLevelsAreSubtotals="1" fieldPosition="0">
        <references count="1">
          <reference field="5" count="1" selected="0">
            <x v="13"/>
          </reference>
        </references>
      </pivotArea>
    </format>
    <format dxfId="177">
      <pivotArea collapsedLevelsAreSubtotals="1" fieldPosition="0">
        <references count="1">
          <reference field="5" count="1" selected="0">
            <x v="0"/>
          </reference>
        </references>
      </pivotArea>
    </format>
    <format dxfId="176">
      <pivotArea collapsedLevelsAreSubtotals="1" fieldPosition="0">
        <references count="1">
          <reference field="5" count="1" selected="0">
            <x v="1"/>
          </reference>
        </references>
      </pivotArea>
    </format>
    <format dxfId="175">
      <pivotArea collapsedLevelsAreSubtotals="1" fieldPosition="0">
        <references count="1">
          <reference field="5" count="1" selected="0">
            <x v="2"/>
          </reference>
        </references>
      </pivotArea>
    </format>
    <format dxfId="174">
      <pivotArea collapsedLevelsAreSubtotals="1" fieldPosition="0">
        <references count="1">
          <reference field="5" count="1" selected="0">
            <x v="3"/>
          </reference>
        </references>
      </pivotArea>
    </format>
    <format dxfId="173">
      <pivotArea collapsedLevelsAreSubtotals="1" fieldPosition="0">
        <references count="1">
          <reference field="5" count="1" selected="0">
            <x v="4"/>
          </reference>
        </references>
      </pivotArea>
    </format>
    <format dxfId="172">
      <pivotArea collapsedLevelsAreSubtotals="1" fieldPosition="0">
        <references count="1">
          <reference field="5" count="1" selected="0">
            <x v="5"/>
          </reference>
        </references>
      </pivotArea>
    </format>
    <format dxfId="171">
      <pivotArea collapsedLevelsAreSubtotals="1" fieldPosition="0">
        <references count="1">
          <reference field="5" count="1" selected="0">
            <x v="6"/>
          </reference>
        </references>
      </pivotArea>
    </format>
    <format dxfId="170">
      <pivotArea collapsedLevelsAreSubtotals="1" fieldPosition="0">
        <references count="1">
          <reference field="5" count="1" selected="0">
            <x v="7"/>
          </reference>
        </references>
      </pivotArea>
    </format>
    <format dxfId="169">
      <pivotArea collapsedLevelsAreSubtotals="1" fieldPosition="0">
        <references count="1">
          <reference field="5" count="1" selected="0">
            <x v="8"/>
          </reference>
        </references>
      </pivotArea>
    </format>
    <format dxfId="168">
      <pivotArea collapsedLevelsAreSubtotals="1" fieldPosition="0">
        <references count="1">
          <reference field="5" count="1" selected="0">
            <x v="9"/>
          </reference>
        </references>
      </pivotArea>
    </format>
    <format dxfId="167">
      <pivotArea collapsedLevelsAreSubtotals="1" fieldPosition="0">
        <references count="1">
          <reference field="5" count="1" selected="0">
            <x v="10"/>
          </reference>
        </references>
      </pivotArea>
    </format>
    <format dxfId="166">
      <pivotArea collapsedLevelsAreSubtotals="1" fieldPosition="0">
        <references count="1">
          <reference field="5" count="1" selected="0">
            <x v="11"/>
          </reference>
        </references>
      </pivotArea>
    </format>
    <format dxfId="165">
      <pivotArea collapsedLevelsAreSubtotals="1" fieldPosition="0">
        <references count="1">
          <reference field="5" count="1" selected="0">
            <x v="12"/>
          </reference>
        </references>
      </pivotArea>
    </format>
    <format dxfId="164">
      <pivotArea collapsedLevelsAreSubtotals="1" fieldPosition="0">
        <references count="1">
          <reference field="5" count="1" selected="0">
            <x v="13"/>
          </reference>
        </references>
      </pivotArea>
    </format>
    <format dxfId="163">
      <pivotArea collapsedLevelsAreSubtotals="1" fieldPosition="0">
        <references count="1">
          <reference field="5" count="1" selected="0">
            <x v="0"/>
          </reference>
        </references>
      </pivotArea>
    </format>
    <format dxfId="162">
      <pivotArea collapsedLevelsAreSubtotals="1" fieldPosition="0">
        <references count="1">
          <reference field="5" count="1" selected="0">
            <x v="1"/>
          </reference>
        </references>
      </pivotArea>
    </format>
    <format dxfId="161">
      <pivotArea collapsedLevelsAreSubtotals="1" fieldPosition="0">
        <references count="1">
          <reference field="5" count="1" selected="0">
            <x v="2"/>
          </reference>
        </references>
      </pivotArea>
    </format>
    <format dxfId="160">
      <pivotArea collapsedLevelsAreSubtotals="1" fieldPosition="0">
        <references count="1">
          <reference field="5" count="1" selected="0">
            <x v="3"/>
          </reference>
        </references>
      </pivotArea>
    </format>
    <format dxfId="159">
      <pivotArea collapsedLevelsAreSubtotals="1" fieldPosition="0">
        <references count="1">
          <reference field="5" count="1" selected="0">
            <x v="4"/>
          </reference>
        </references>
      </pivotArea>
    </format>
    <format dxfId="158">
      <pivotArea collapsedLevelsAreSubtotals="1" fieldPosition="0">
        <references count="1">
          <reference field="5" count="1" selected="0">
            <x v="5"/>
          </reference>
        </references>
      </pivotArea>
    </format>
    <format dxfId="157">
      <pivotArea collapsedLevelsAreSubtotals="1" fieldPosition="0">
        <references count="1">
          <reference field="5" count="1" selected="0">
            <x v="6"/>
          </reference>
        </references>
      </pivotArea>
    </format>
    <format dxfId="156">
      <pivotArea collapsedLevelsAreSubtotals="1" fieldPosition="0">
        <references count="1">
          <reference field="5" count="1" selected="0">
            <x v="7"/>
          </reference>
        </references>
      </pivotArea>
    </format>
    <format dxfId="155">
      <pivotArea collapsedLevelsAreSubtotals="1" fieldPosition="0">
        <references count="1">
          <reference field="5" count="1" selected="0">
            <x v="8"/>
          </reference>
        </references>
      </pivotArea>
    </format>
    <format dxfId="154">
      <pivotArea collapsedLevelsAreSubtotals="1" fieldPosition="0">
        <references count="1">
          <reference field="5" count="1" selected="0">
            <x v="9"/>
          </reference>
        </references>
      </pivotArea>
    </format>
    <format dxfId="153">
      <pivotArea collapsedLevelsAreSubtotals="1" fieldPosition="0">
        <references count="1">
          <reference field="5" count="1" selected="0">
            <x v="10"/>
          </reference>
        </references>
      </pivotArea>
    </format>
    <format dxfId="152">
      <pivotArea collapsedLevelsAreSubtotals="1" fieldPosition="0">
        <references count="1">
          <reference field="5" count="1" selected="0">
            <x v="11"/>
          </reference>
        </references>
      </pivotArea>
    </format>
    <format dxfId="151">
      <pivotArea collapsedLevelsAreSubtotals="1" fieldPosition="0">
        <references count="1">
          <reference field="5" count="1" selected="0">
            <x v="12"/>
          </reference>
        </references>
      </pivotArea>
    </format>
    <format dxfId="150">
      <pivotArea collapsedLevelsAreSubtotals="1" fieldPosition="0">
        <references count="1">
          <reference field="5" count="1" selected="0">
            <x v="13"/>
          </reference>
        </references>
      </pivotArea>
    </format>
  </formats>
  <chartFormats count="2">
    <chartFormat chart="2"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14"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
  <location ref="A22:B27" firstHeaderRow="1" firstDataRow="1" firstDataCol="1"/>
  <pivotFields count="12">
    <pivotField compact="0" showAll="0"/>
    <pivotField compact="0" showAll="0"/>
    <pivotField compact="0" showAll="0"/>
    <pivotField compact="0" showAll="0"/>
    <pivotField compact="0" showAll="0"/>
    <pivotField compact="0" showAll="0">
      <items count="15">
        <item x="8"/>
        <item x="7"/>
        <item x="1"/>
        <item x="12"/>
        <item x="2"/>
        <item x="0"/>
        <item x="10"/>
        <item x="13"/>
        <item x="3"/>
        <item x="5"/>
        <item x="11"/>
        <item x="4"/>
        <item x="9"/>
        <item x="6"/>
        <item t="default"/>
      </items>
    </pivotField>
    <pivotField dataField="1" compact="0" showAll="0"/>
    <pivotField compact="0" showAll="0"/>
    <pivotField axis="axisRow" compact="0" showAll="0">
      <items count="7">
        <item m="1" x="4"/>
        <item x="3"/>
        <item x="2"/>
        <item x="0"/>
        <item m="1" x="5"/>
        <item x="1"/>
        <item t="default"/>
      </items>
    </pivotField>
    <pivotField compact="0" showAll="0">
      <items count="25">
        <item x="2"/>
        <item x="22"/>
        <item x="5"/>
        <item x="14"/>
        <item x="20"/>
        <item x="15"/>
        <item x="19"/>
        <item x="18"/>
        <item x="12"/>
        <item x="17"/>
        <item x="8"/>
        <item x="3"/>
        <item x="1"/>
        <item x="6"/>
        <item x="23"/>
        <item x="13"/>
        <item x="0"/>
        <item x="9"/>
        <item x="10"/>
        <item x="7"/>
        <item x="11"/>
        <item x="4"/>
        <item x="21"/>
        <item x="16"/>
        <item t="default"/>
      </items>
    </pivotField>
    <pivotField compact="0" showAll="0"/>
    <pivotField compact="0" showAll="0"/>
  </pivotFields>
  <rowFields count="1">
    <field x="8"/>
  </rowFields>
  <rowItems count="5">
    <i>
      <x v="1"/>
    </i>
    <i>
      <x v="2"/>
    </i>
    <i>
      <x v="3"/>
    </i>
    <i>
      <x v="5"/>
    </i>
    <i t="grand">
      <x/>
    </i>
  </rowItems>
  <colItems count="1">
    <i/>
  </colItems>
  <dataFields count="1">
    <dataField name="Average of Salary of employees by age group" fld="6" subtotal="average" baseField="0" baseItem="0"/>
  </dataFields>
  <formats count="5">
    <format dxfId="224">
      <pivotArea collapsedLevelsAreSubtotals="1" fieldPosition="0"/>
    </format>
    <format dxfId="223">
      <pivotArea collapsedLevelsAreSubtotals="1" fieldPosition="0"/>
    </format>
    <format dxfId="222">
      <pivotArea collapsedLevelsAreSubtotals="1" fieldPosition="0"/>
    </format>
    <format dxfId="221">
      <pivotArea collapsedLevelsAreSubtotals="1" fieldPosition="0"/>
    </format>
    <format dxfId="220">
      <pivotArea collapsedLevelsAreSubtotals="1" fieldPosition="0"/>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1"/>
          </reference>
        </references>
      </pivotArea>
    </chartFormat>
    <chartFormat chart="2" format="2">
      <pivotArea type="data" outline="0" fieldPosition="0">
        <references count="2">
          <reference field="4294967294" count="1" selected="0">
            <x v="0"/>
          </reference>
          <reference field="8" count="1" selected="0">
            <x v="2"/>
          </reference>
        </references>
      </pivotArea>
    </chartFormat>
    <chartFormat chart="2" format="3">
      <pivotArea type="data" outline="0" fieldPosition="0">
        <references count="2">
          <reference field="4294967294" count="1" selected="0">
            <x v="0"/>
          </reference>
          <reference field="8" count="1" selected="0">
            <x v="3"/>
          </reference>
        </references>
      </pivotArea>
    </chartFormat>
    <chartFormat chart="2" format="4">
      <pivotArea type="data" outline="0" fieldPosition="0">
        <references count="2">
          <reference field="4294967294" count="1" selected="0">
            <x v="0"/>
          </reference>
          <reference field="8" count="1" selected="0">
            <x v="4"/>
          </reference>
        </references>
      </pivotArea>
    </chartFormat>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3"/>
          </reference>
        </references>
      </pivotArea>
    </chartFormat>
    <chartFormat chart="0" format="4">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4" cacheId="17"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
  <location ref="A38:B88" firstHeaderRow="1" firstDataRow="1" firstDataCol="1"/>
  <pivotFields count="12">
    <pivotField compact="0" showAll="0"/>
    <pivotField compact="0" showAll="0"/>
    <pivotField compact="0" showAll="0"/>
    <pivotField compact="0" showAll="0"/>
    <pivotField axis="axisRow" compact="0" showAll="0">
      <items count="50">
        <item x="24"/>
        <item x="1"/>
        <item x="30"/>
        <item x="11"/>
        <item x="38"/>
        <item x="40"/>
        <item x="26"/>
        <item x="13"/>
        <item x="31"/>
        <item x="7"/>
        <item x="0"/>
        <item x="46"/>
        <item x="12"/>
        <item x="33"/>
        <item x="28"/>
        <item x="15"/>
        <item x="8"/>
        <item x="19"/>
        <item x="27"/>
        <item x="3"/>
        <item x="47"/>
        <item x="35"/>
        <item x="34"/>
        <item x="4"/>
        <item x="43"/>
        <item x="18"/>
        <item x="36"/>
        <item x="9"/>
        <item x="23"/>
        <item x="45"/>
        <item x="32"/>
        <item x="6"/>
        <item x="37"/>
        <item x="17"/>
        <item x="16"/>
        <item x="5"/>
        <item x="25"/>
        <item x="44"/>
        <item x="10"/>
        <item x="41"/>
        <item x="42"/>
        <item x="2"/>
        <item x="22"/>
        <item x="20"/>
        <item x="21"/>
        <item x="39"/>
        <item x="29"/>
        <item x="14"/>
        <item x="48"/>
        <item t="default"/>
      </items>
    </pivotField>
    <pivotField compact="0" showAll="0"/>
    <pivotField dataField="1" compact="0" showAll="0"/>
    <pivotField compact="0" showAll="0"/>
    <pivotField compact="0" showAll="0"/>
    <pivotField compact="0" multipleItemSelectionAllowed="1" showAll="0"/>
    <pivotField compact="0" showAll="0"/>
    <pivotField compact="0"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ary"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00000000-0013-0000-FFFF-FFFF01000000}" sourceName="age_bracket">
  <pivotTables>
    <pivotTable tabId="2" name="PivotTable1"/>
    <pivotTable tabId="2" name="PivotTable3"/>
    <pivotTable tabId="2" name="PivotTable5"/>
  </pivotTables>
  <data>
    <tabular pivotCacheId="1">
      <items count="6">
        <i x="1" s="1"/>
        <i x="3" s="1"/>
        <i x="2" s="1"/>
        <i x="0" s="1"/>
        <i x="4"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2000000}" sourceName="State">
  <pivotTables>
    <pivotTable tabId="2" name="PivotTable1"/>
    <pivotTable tabId="2" name="PivotTable3"/>
    <pivotTable tabId="2" name="PivotTable5"/>
  </pivotTables>
  <data>
    <tabular pivotCacheId="1">
      <items count="24">
        <i x="2" s="1"/>
        <i x="22" s="1"/>
        <i x="5" s="1"/>
        <i x="14" s="1"/>
        <i x="20" s="1"/>
        <i x="15" s="1"/>
        <i x="19" s="1"/>
        <i x="18" s="1"/>
        <i x="12" s="1"/>
        <i x="17" s="1"/>
        <i x="8" s="1"/>
        <i x="3" s="1"/>
        <i x="1" s="1"/>
        <i x="6" s="1"/>
        <i x="23" s="1"/>
        <i x="13" s="1"/>
        <i x="0" s="1"/>
        <i x="9" s="1"/>
        <i x="10" s="1"/>
        <i x="7" s="1"/>
        <i x="11" s="1"/>
        <i x="4" s="1"/>
        <i x="21"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3000000}" sourceName="Department">
  <pivotTables>
    <pivotTable tabId="2" name="PivotTable1"/>
    <pivotTable tabId="2" name="PivotTable3"/>
    <pivotTable tabId="2" name="PivotTable5"/>
  </pivotTables>
  <data>
    <tabular pivotCacheId="1">
      <items count="14">
        <i x="8" s="1"/>
        <i x="7" s="1"/>
        <i x="1" s="1"/>
        <i x="12" s="1"/>
        <i x="2" s="1"/>
        <i x="0" s="1"/>
        <i x="10" s="1"/>
        <i x="13" s="1"/>
        <i x="3" s="1"/>
        <i x="5" s="1"/>
        <i x="11" s="1"/>
        <i x="4" s="1"/>
        <i x="9"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bracket" xr10:uid="{00000000-0014-0000-FFFF-FFFF03000000}" cache="Slicer_age_bracket" caption="age_bracket" style="SlicerStyleDark1" rowHeight="225425"/>
  <slicer name="State" xr10:uid="{00000000-0014-0000-FFFF-FFFF02000000}" cache="Slicer_State" caption="State" startItem="3" style="SlicerStyleDark1" rowHeight="225425"/>
  <slicer name="Department" xr10:uid="{00000000-0014-0000-FFFF-FFFF01000000}" cache="Slicer_Department" caption="Department" columnCount="7" style="SlicerStyleDark1" rowHeight="274320"/>
</slicer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19"/>
  <sheetViews>
    <sheetView workbookViewId="0">
      <selection activeCell="I47" sqref="I47"/>
    </sheetView>
  </sheetViews>
  <sheetFormatPr defaultColWidth="8.81640625" defaultRowHeight="14.5"/>
  <cols>
    <col min="1" max="1" width="19.36328125" bestFit="1" customWidth="1"/>
    <col min="2" max="2" width="12.08984375" bestFit="1" customWidth="1"/>
    <col min="3" max="3" width="13.36328125"/>
    <col min="4" max="50" width="18.6328125"/>
    <col min="51" max="51" width="10.26953125"/>
  </cols>
  <sheetData>
    <row r="3" spans="1:2">
      <c r="A3" s="7" t="s">
        <v>0</v>
      </c>
      <c r="B3" t="s">
        <v>1</v>
      </c>
    </row>
    <row r="4" spans="1:2">
      <c r="A4" t="s">
        <v>2</v>
      </c>
      <c r="B4" s="4">
        <v>51666.666666666664</v>
      </c>
    </row>
    <row r="5" spans="1:2">
      <c r="A5" t="s">
        <v>3</v>
      </c>
      <c r="B5" s="4">
        <v>80250</v>
      </c>
    </row>
    <row r="6" spans="1:2">
      <c r="A6" t="s">
        <v>4</v>
      </c>
      <c r="B6" s="4">
        <v>78500</v>
      </c>
    </row>
    <row r="7" spans="1:2">
      <c r="A7" t="s">
        <v>5</v>
      </c>
      <c r="B7" s="4">
        <v>132500</v>
      </c>
    </row>
    <row r="8" spans="1:2">
      <c r="A8" t="s">
        <v>6</v>
      </c>
      <c r="B8" s="4">
        <v>95000</v>
      </c>
    </row>
    <row r="9" spans="1:2">
      <c r="A9" t="s">
        <v>7</v>
      </c>
      <c r="B9" s="4">
        <v>108333.33333333333</v>
      </c>
    </row>
    <row r="10" spans="1:2">
      <c r="A10" t="s">
        <v>8</v>
      </c>
      <c r="B10" s="4">
        <v>66000</v>
      </c>
    </row>
    <row r="11" spans="1:2">
      <c r="A11" t="s">
        <v>9</v>
      </c>
      <c r="B11" s="4">
        <v>61666.666666666664</v>
      </c>
    </row>
    <row r="12" spans="1:2">
      <c r="A12" t="s">
        <v>10</v>
      </c>
      <c r="B12" s="4">
        <v>76666.666666666672</v>
      </c>
    </row>
    <row r="13" spans="1:2">
      <c r="A13" t="s">
        <v>11</v>
      </c>
      <c r="B13" s="4">
        <v>122500</v>
      </c>
    </row>
    <row r="14" spans="1:2">
      <c r="A14" t="s">
        <v>12</v>
      </c>
      <c r="B14" s="4">
        <v>57500</v>
      </c>
    </row>
    <row r="15" spans="1:2">
      <c r="A15" t="s">
        <v>13</v>
      </c>
      <c r="B15" s="4">
        <v>100000</v>
      </c>
    </row>
    <row r="16" spans="1:2">
      <c r="A16" t="s">
        <v>14</v>
      </c>
      <c r="B16" s="4">
        <v>70000</v>
      </c>
    </row>
    <row r="17" spans="1:2">
      <c r="A17" t="s">
        <v>15</v>
      </c>
      <c r="B17" s="4">
        <v>56666.666666666664</v>
      </c>
    </row>
    <row r="18" spans="1:2">
      <c r="A18" t="s">
        <v>16</v>
      </c>
      <c r="B18" s="8">
        <v>79340</v>
      </c>
    </row>
    <row r="22" spans="1:2">
      <c r="A22" s="7" t="s">
        <v>17</v>
      </c>
      <c r="B22" t="s">
        <v>18</v>
      </c>
    </row>
    <row r="23" spans="1:2">
      <c r="A23" t="s">
        <v>19</v>
      </c>
      <c r="B23" s="4">
        <v>75000</v>
      </c>
    </row>
    <row r="24" spans="1:2">
      <c r="A24" t="s">
        <v>20</v>
      </c>
      <c r="B24" s="4">
        <v>58812.5</v>
      </c>
    </row>
    <row r="25" spans="1:2">
      <c r="A25" t="s">
        <v>21</v>
      </c>
      <c r="B25" s="4">
        <v>88800</v>
      </c>
    </row>
    <row r="26" spans="1:2">
      <c r="A26" t="s">
        <v>340</v>
      </c>
      <c r="B26" s="4">
        <v>89944.444444444438</v>
      </c>
    </row>
    <row r="27" spans="1:2">
      <c r="A27" t="s">
        <v>16</v>
      </c>
      <c r="B27" s="4">
        <v>79340</v>
      </c>
    </row>
    <row r="38" spans="1:2">
      <c r="A38" s="7" t="s">
        <v>22</v>
      </c>
      <c r="B38" t="s">
        <v>23</v>
      </c>
    </row>
    <row r="39" spans="1:2">
      <c r="A39" t="s">
        <v>24</v>
      </c>
      <c r="B39" s="8">
        <v>55000</v>
      </c>
    </row>
    <row r="40" spans="1:2">
      <c r="A40" t="s">
        <v>25</v>
      </c>
      <c r="B40" s="8">
        <v>72000</v>
      </c>
    </row>
    <row r="41" spans="1:2">
      <c r="A41" t="s">
        <v>26</v>
      </c>
      <c r="B41" s="8">
        <v>135000</v>
      </c>
    </row>
    <row r="42" spans="1:2">
      <c r="A42" t="s">
        <v>27</v>
      </c>
      <c r="B42" s="8">
        <v>110000</v>
      </c>
    </row>
    <row r="43" spans="1:2">
      <c r="A43" t="s">
        <v>28</v>
      </c>
      <c r="B43" s="8">
        <v>52000</v>
      </c>
    </row>
    <row r="44" spans="1:2">
      <c r="A44" t="s">
        <v>29</v>
      </c>
      <c r="B44" s="8">
        <v>45000</v>
      </c>
    </row>
    <row r="45" spans="1:2">
      <c r="A45" t="s">
        <v>30</v>
      </c>
      <c r="B45" s="8">
        <v>35000</v>
      </c>
    </row>
    <row r="46" spans="1:2">
      <c r="A46" t="s">
        <v>31</v>
      </c>
      <c r="B46" s="8">
        <v>65000</v>
      </c>
    </row>
    <row r="47" spans="1:2">
      <c r="A47" t="s">
        <v>32</v>
      </c>
      <c r="B47" s="8">
        <v>70000</v>
      </c>
    </row>
    <row r="48" spans="1:2">
      <c r="A48" t="s">
        <v>33</v>
      </c>
      <c r="B48" s="8">
        <v>55000</v>
      </c>
    </row>
    <row r="49" spans="1:2">
      <c r="A49" t="s">
        <v>34</v>
      </c>
      <c r="B49" s="8">
        <v>85000</v>
      </c>
    </row>
    <row r="50" spans="1:2">
      <c r="A50" t="s">
        <v>35</v>
      </c>
      <c r="B50" s="8">
        <v>54000</v>
      </c>
    </row>
    <row r="51" spans="1:2">
      <c r="A51" t="s">
        <v>36</v>
      </c>
      <c r="B51" s="8">
        <v>48000</v>
      </c>
    </row>
    <row r="52" spans="1:2">
      <c r="A52" t="s">
        <v>37</v>
      </c>
      <c r="B52" s="8">
        <v>78000</v>
      </c>
    </row>
    <row r="53" spans="1:2">
      <c r="A53" t="s">
        <v>38</v>
      </c>
      <c r="B53" s="8">
        <v>65000</v>
      </c>
    </row>
    <row r="54" spans="1:2">
      <c r="A54" t="s">
        <v>39</v>
      </c>
      <c r="B54" s="8">
        <v>115000</v>
      </c>
    </row>
    <row r="55" spans="1:2">
      <c r="A55" t="s">
        <v>40</v>
      </c>
      <c r="B55" s="8">
        <v>68000</v>
      </c>
    </row>
    <row r="56" spans="1:2">
      <c r="A56" t="s">
        <v>41</v>
      </c>
      <c r="B56" s="8">
        <v>60000</v>
      </c>
    </row>
    <row r="57" spans="1:2">
      <c r="A57" t="s">
        <v>42</v>
      </c>
      <c r="B57" s="8">
        <v>160000</v>
      </c>
    </row>
    <row r="58" spans="1:2">
      <c r="A58" t="s">
        <v>43</v>
      </c>
      <c r="B58" s="8">
        <v>65000</v>
      </c>
    </row>
    <row r="59" spans="1:2">
      <c r="A59" t="s">
        <v>44</v>
      </c>
      <c r="B59" s="8">
        <v>92000</v>
      </c>
    </row>
    <row r="60" spans="1:2">
      <c r="A60" t="s">
        <v>45</v>
      </c>
      <c r="B60" s="8">
        <v>85000</v>
      </c>
    </row>
    <row r="61" spans="1:2">
      <c r="A61" t="s">
        <v>46</v>
      </c>
      <c r="B61" s="8">
        <v>60000</v>
      </c>
    </row>
    <row r="62" spans="1:2">
      <c r="A62" t="s">
        <v>47</v>
      </c>
      <c r="B62" s="8">
        <v>70000</v>
      </c>
    </row>
    <row r="63" spans="1:2">
      <c r="A63" t="s">
        <v>48</v>
      </c>
      <c r="B63" s="8">
        <v>72000</v>
      </c>
    </row>
    <row r="64" spans="1:2">
      <c r="A64" t="s">
        <v>49</v>
      </c>
      <c r="B64" s="8">
        <v>90000</v>
      </c>
    </row>
    <row r="65" spans="1:2">
      <c r="A65" t="s">
        <v>50</v>
      </c>
      <c r="B65" s="8">
        <v>120000</v>
      </c>
    </row>
    <row r="66" spans="1:2">
      <c r="A66" t="s">
        <v>51</v>
      </c>
      <c r="B66" s="8">
        <v>45000</v>
      </c>
    </row>
    <row r="67" spans="1:2">
      <c r="A67" t="s">
        <v>52</v>
      </c>
      <c r="B67" s="8">
        <v>145000</v>
      </c>
    </row>
    <row r="68" spans="1:2">
      <c r="A68" t="s">
        <v>53</v>
      </c>
      <c r="B68" s="8">
        <v>88000</v>
      </c>
    </row>
    <row r="69" spans="1:2">
      <c r="A69" t="s">
        <v>54</v>
      </c>
      <c r="B69" s="8">
        <v>95000</v>
      </c>
    </row>
    <row r="70" spans="1:2">
      <c r="A70" t="s">
        <v>55</v>
      </c>
      <c r="B70" s="8">
        <v>150000</v>
      </c>
    </row>
    <row r="71" spans="1:2">
      <c r="A71" t="s">
        <v>56</v>
      </c>
      <c r="B71" s="8">
        <v>95000</v>
      </c>
    </row>
    <row r="72" spans="1:2">
      <c r="A72" t="s">
        <v>57</v>
      </c>
      <c r="B72" s="8">
        <v>50000</v>
      </c>
    </row>
    <row r="73" spans="1:2">
      <c r="A73" t="s">
        <v>58</v>
      </c>
      <c r="B73" s="8">
        <v>140000</v>
      </c>
    </row>
    <row r="74" spans="1:2">
      <c r="A74" t="s">
        <v>59</v>
      </c>
      <c r="B74" s="8">
        <v>60000</v>
      </c>
    </row>
    <row r="75" spans="1:2">
      <c r="A75" t="s">
        <v>60</v>
      </c>
      <c r="B75" s="8">
        <v>83000</v>
      </c>
    </row>
    <row r="76" spans="1:2">
      <c r="A76" t="s">
        <v>61</v>
      </c>
      <c r="B76" s="8">
        <v>60000</v>
      </c>
    </row>
    <row r="77" spans="1:2">
      <c r="A77" t="s">
        <v>62</v>
      </c>
      <c r="B77" s="8">
        <v>50000</v>
      </c>
    </row>
    <row r="78" spans="1:2">
      <c r="A78" t="s">
        <v>63</v>
      </c>
      <c r="B78" s="8">
        <v>90000</v>
      </c>
    </row>
    <row r="79" spans="1:2">
      <c r="A79" t="s">
        <v>64</v>
      </c>
      <c r="B79" s="8">
        <v>95000</v>
      </c>
    </row>
    <row r="80" spans="1:2">
      <c r="A80" t="s">
        <v>65</v>
      </c>
      <c r="B80" s="8">
        <v>120000</v>
      </c>
    </row>
    <row r="81" spans="1:2">
      <c r="A81" t="s">
        <v>66</v>
      </c>
      <c r="B81" s="8">
        <v>58000</v>
      </c>
    </row>
    <row r="82" spans="1:2">
      <c r="A82" t="s">
        <v>67</v>
      </c>
      <c r="B82" s="8">
        <v>130000</v>
      </c>
    </row>
    <row r="83" spans="1:2">
      <c r="A83" t="s">
        <v>68</v>
      </c>
      <c r="B83" s="8">
        <v>82000</v>
      </c>
    </row>
    <row r="84" spans="1:2">
      <c r="A84" t="s">
        <v>69</v>
      </c>
      <c r="B84" s="8">
        <v>75000</v>
      </c>
    </row>
    <row r="85" spans="1:2">
      <c r="A85" t="s">
        <v>70</v>
      </c>
      <c r="B85" s="8">
        <v>105000</v>
      </c>
    </row>
    <row r="86" spans="1:2">
      <c r="A86" t="s">
        <v>71</v>
      </c>
      <c r="B86" s="8">
        <v>70000</v>
      </c>
    </row>
    <row r="87" spans="1:2">
      <c r="A87" t="s">
        <v>72</v>
      </c>
      <c r="B87" s="8"/>
    </row>
    <row r="88" spans="1:2">
      <c r="A88" t="s">
        <v>16</v>
      </c>
      <c r="B88" s="8">
        <v>3967000</v>
      </c>
    </row>
    <row r="94" spans="1:2">
      <c r="A94" s="7" t="s">
        <v>73</v>
      </c>
      <c r="B94" t="s">
        <v>74</v>
      </c>
    </row>
    <row r="95" spans="1:2">
      <c r="A95" t="s">
        <v>75</v>
      </c>
      <c r="B95" s="8">
        <v>270000</v>
      </c>
    </row>
    <row r="96" spans="1:2">
      <c r="A96" t="s">
        <v>76</v>
      </c>
      <c r="B96" s="8">
        <v>60000</v>
      </c>
    </row>
    <row r="97" spans="1:2">
      <c r="A97" t="s">
        <v>77</v>
      </c>
      <c r="B97" s="8">
        <v>118000</v>
      </c>
    </row>
    <row r="98" spans="1:2">
      <c r="A98" t="s">
        <v>78</v>
      </c>
      <c r="B98" s="8">
        <v>50000</v>
      </c>
    </row>
    <row r="99" spans="1:2">
      <c r="A99" t="s">
        <v>79</v>
      </c>
      <c r="B99" s="8">
        <v>52000</v>
      </c>
    </row>
    <row r="100" spans="1:2">
      <c r="A100" t="s">
        <v>80</v>
      </c>
      <c r="B100" s="8">
        <v>90000</v>
      </c>
    </row>
    <row r="101" spans="1:2">
      <c r="A101" t="s">
        <v>81</v>
      </c>
      <c r="B101" s="8">
        <v>85000</v>
      </c>
    </row>
    <row r="102" spans="1:2">
      <c r="A102" t="s">
        <v>82</v>
      </c>
      <c r="B102" s="8">
        <v>78000</v>
      </c>
    </row>
    <row r="103" spans="1:2">
      <c r="A103" t="s">
        <v>83</v>
      </c>
      <c r="B103" s="8">
        <v>260000</v>
      </c>
    </row>
    <row r="104" spans="1:2">
      <c r="A104" t="s">
        <v>84</v>
      </c>
      <c r="B104" s="8">
        <v>135000</v>
      </c>
    </row>
    <row r="105" spans="1:2">
      <c r="A105" t="s">
        <v>85</v>
      </c>
      <c r="B105" s="8">
        <v>105000</v>
      </c>
    </row>
    <row r="106" spans="1:2">
      <c r="A106" t="s">
        <v>86</v>
      </c>
      <c r="B106" s="8">
        <v>355000</v>
      </c>
    </row>
    <row r="107" spans="1:2">
      <c r="A107" t="s">
        <v>87</v>
      </c>
      <c r="B107" s="8">
        <v>279000</v>
      </c>
    </row>
    <row r="108" spans="1:2">
      <c r="A108" t="s">
        <v>88</v>
      </c>
      <c r="B108" s="8">
        <v>130000</v>
      </c>
    </row>
    <row r="109" spans="1:2">
      <c r="A109" t="s">
        <v>89</v>
      </c>
      <c r="B109" s="8">
        <v>42000</v>
      </c>
    </row>
    <row r="110" spans="1:2">
      <c r="A110" t="s">
        <v>90</v>
      </c>
      <c r="B110" s="8">
        <v>200000</v>
      </c>
    </row>
    <row r="111" spans="1:2">
      <c r="A111" t="s">
        <v>91</v>
      </c>
      <c r="B111" s="8">
        <v>888000</v>
      </c>
    </row>
    <row r="112" spans="1:2">
      <c r="A112" t="s">
        <v>92</v>
      </c>
      <c r="B112" s="8">
        <v>50000</v>
      </c>
    </row>
    <row r="113" spans="1:2">
      <c r="A113" t="s">
        <v>93</v>
      </c>
      <c r="B113" s="8">
        <v>239000</v>
      </c>
    </row>
    <row r="114" spans="1:2">
      <c r="A114" t="s">
        <v>94</v>
      </c>
      <c r="B114" s="8">
        <v>160000</v>
      </c>
    </row>
    <row r="115" spans="1:2">
      <c r="A115" t="s">
        <v>95</v>
      </c>
      <c r="B115" s="8">
        <v>65000</v>
      </c>
    </row>
    <row r="116" spans="1:2">
      <c r="A116" t="s">
        <v>96</v>
      </c>
      <c r="B116" s="8">
        <v>111000</v>
      </c>
    </row>
    <row r="117" spans="1:2">
      <c r="A117" t="s">
        <v>97</v>
      </c>
      <c r="B117" s="8">
        <v>90000</v>
      </c>
    </row>
    <row r="118" spans="1:2">
      <c r="A118" t="s">
        <v>98</v>
      </c>
      <c r="B118" s="8">
        <v>55000</v>
      </c>
    </row>
    <row r="119" spans="1:2">
      <c r="A119" t="s">
        <v>16</v>
      </c>
      <c r="B119" s="8">
        <v>3967000</v>
      </c>
    </row>
  </sheetData>
  <pageMargins left="0.75" right="0.75" top="1" bottom="1" header="0.5" footer="0.5"/>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1"/>
  <sheetViews>
    <sheetView workbookViewId="0">
      <selection activeCell="I2" sqref="I2:I51"/>
    </sheetView>
  </sheetViews>
  <sheetFormatPr defaultColWidth="8.81640625" defaultRowHeight="14.5"/>
  <cols>
    <col min="1" max="1" width="7.36328125" customWidth="1"/>
    <col min="2" max="2" width="9" customWidth="1"/>
    <col min="3" max="3" width="12" customWidth="1"/>
    <col min="4" max="4" width="31.26953125" customWidth="1"/>
    <col min="5" max="5" width="18.6328125" customWidth="1"/>
    <col min="6" max="6" width="11.08984375" customWidth="1"/>
    <col min="7" max="7" width="7.26953125" customWidth="1"/>
    <col min="9" max="9" width="10.7265625" customWidth="1"/>
    <col min="11" max="11" width="12.08984375" customWidth="1"/>
    <col min="12" max="12" width="10.36328125"/>
  </cols>
  <sheetData>
    <row r="1" spans="1:12">
      <c r="A1" t="s">
        <v>99</v>
      </c>
      <c r="B1" t="s">
        <v>100</v>
      </c>
      <c r="C1" t="s">
        <v>101</v>
      </c>
      <c r="D1" t="s">
        <v>102</v>
      </c>
      <c r="E1" t="s">
        <v>22</v>
      </c>
      <c r="F1" t="s">
        <v>0</v>
      </c>
      <c r="G1" t="s">
        <v>103</v>
      </c>
      <c r="H1" t="s">
        <v>104</v>
      </c>
      <c r="I1" t="s">
        <v>17</v>
      </c>
      <c r="J1" t="s">
        <v>73</v>
      </c>
      <c r="K1" t="s">
        <v>105</v>
      </c>
      <c r="L1" t="s">
        <v>106</v>
      </c>
    </row>
    <row r="2" spans="1:12">
      <c r="A2" t="s">
        <v>107</v>
      </c>
      <c r="B2" t="s">
        <v>108</v>
      </c>
      <c r="C2" t="s">
        <v>109</v>
      </c>
      <c r="D2" t="s">
        <v>110</v>
      </c>
      <c r="E2" t="s">
        <v>34</v>
      </c>
      <c r="F2" t="s">
        <v>7</v>
      </c>
      <c r="G2">
        <v>85000</v>
      </c>
      <c r="H2">
        <v>28</v>
      </c>
      <c r="I2" t="str">
        <f>IF(H2&gt;=50,"Old",IF(H2&gt;=35,"Adult",IF(H2&lt;=25,"Teenager","Youth")))</f>
        <v>Youth</v>
      </c>
      <c r="J2" t="s">
        <v>91</v>
      </c>
      <c r="K2" t="s">
        <v>111</v>
      </c>
      <c r="L2" s="2">
        <v>43845</v>
      </c>
    </row>
    <row r="3" spans="1:12">
      <c r="A3" t="s">
        <v>112</v>
      </c>
      <c r="B3" t="s">
        <v>113</v>
      </c>
      <c r="C3" t="s">
        <v>114</v>
      </c>
      <c r="D3" t="s">
        <v>115</v>
      </c>
      <c r="E3" t="s">
        <v>25</v>
      </c>
      <c r="F3" t="s">
        <v>4</v>
      </c>
      <c r="G3">
        <v>72000</v>
      </c>
      <c r="H3">
        <v>32</v>
      </c>
      <c r="I3" t="str">
        <f t="shared" ref="I3:I51" si="0">IF(H3&gt;=50,"Old",IF(H3&gt;=35,"Adult",IF(H3&lt;=25,"Teenager","Youth")))</f>
        <v>Youth</v>
      </c>
      <c r="J3" t="s">
        <v>87</v>
      </c>
      <c r="K3" t="s">
        <v>116</v>
      </c>
      <c r="L3" s="3">
        <v>43534</v>
      </c>
    </row>
    <row r="4" spans="1:12">
      <c r="A4" t="s">
        <v>117</v>
      </c>
      <c r="B4" t="s">
        <v>118</v>
      </c>
      <c r="C4" t="s">
        <v>119</v>
      </c>
      <c r="D4" t="s">
        <v>120</v>
      </c>
      <c r="E4" t="s">
        <v>65</v>
      </c>
      <c r="F4" t="s">
        <v>7</v>
      </c>
      <c r="G4">
        <v>120000</v>
      </c>
      <c r="H4">
        <v>26</v>
      </c>
      <c r="I4" t="str">
        <f t="shared" si="0"/>
        <v>Youth</v>
      </c>
      <c r="J4" t="s">
        <v>75</v>
      </c>
      <c r="K4" t="s">
        <v>121</v>
      </c>
      <c r="L4" s="3">
        <v>44348</v>
      </c>
    </row>
    <row r="5" spans="1:12">
      <c r="A5" t="s">
        <v>122</v>
      </c>
      <c r="B5" t="s">
        <v>123</v>
      </c>
      <c r="C5" t="s">
        <v>124</v>
      </c>
      <c r="D5" t="s">
        <v>125</v>
      </c>
      <c r="E5" t="s">
        <v>43</v>
      </c>
      <c r="F5" t="s">
        <v>6</v>
      </c>
      <c r="G5">
        <v>65000</v>
      </c>
      <c r="H5">
        <v>35</v>
      </c>
      <c r="I5" t="str">
        <f t="shared" si="0"/>
        <v>Adult</v>
      </c>
      <c r="J5" t="s">
        <v>86</v>
      </c>
      <c r="K5" t="s">
        <v>126</v>
      </c>
      <c r="L5" s="3">
        <v>43355</v>
      </c>
    </row>
    <row r="6" spans="1:12">
      <c r="A6" t="s">
        <v>127</v>
      </c>
      <c r="B6" t="s">
        <v>128</v>
      </c>
      <c r="C6" t="s">
        <v>129</v>
      </c>
      <c r="D6" t="s">
        <v>130</v>
      </c>
      <c r="E6" t="s">
        <v>47</v>
      </c>
      <c r="F6" t="s">
        <v>10</v>
      </c>
      <c r="G6">
        <v>70000</v>
      </c>
      <c r="H6">
        <v>29</v>
      </c>
      <c r="I6" t="str">
        <f t="shared" si="0"/>
        <v>Youth</v>
      </c>
      <c r="J6" t="s">
        <v>96</v>
      </c>
      <c r="K6" t="s">
        <v>131</v>
      </c>
      <c r="L6" s="3">
        <v>44612</v>
      </c>
    </row>
    <row r="7" spans="1:12">
      <c r="A7" t="s">
        <v>132</v>
      </c>
      <c r="B7" t="s">
        <v>133</v>
      </c>
      <c r="C7" t="s">
        <v>134</v>
      </c>
      <c r="D7" t="s">
        <v>135</v>
      </c>
      <c r="E7" t="s">
        <v>59</v>
      </c>
      <c r="F7" t="s">
        <v>13</v>
      </c>
      <c r="G7">
        <v>60000</v>
      </c>
      <c r="H7">
        <v>24</v>
      </c>
      <c r="I7" t="str">
        <f t="shared" si="0"/>
        <v>Teenager</v>
      </c>
      <c r="J7" t="s">
        <v>77</v>
      </c>
      <c r="K7" t="s">
        <v>136</v>
      </c>
      <c r="L7" s="3">
        <v>44934</v>
      </c>
    </row>
    <row r="8" spans="1:12">
      <c r="A8" t="s">
        <v>137</v>
      </c>
      <c r="B8" t="s">
        <v>138</v>
      </c>
      <c r="C8" t="s">
        <v>139</v>
      </c>
      <c r="D8" t="s">
        <v>140</v>
      </c>
      <c r="E8" t="s">
        <v>55</v>
      </c>
      <c r="F8" t="s">
        <v>11</v>
      </c>
      <c r="G8">
        <v>150000</v>
      </c>
      <c r="H8">
        <v>41</v>
      </c>
      <c r="I8" t="str">
        <f t="shared" si="0"/>
        <v>Adult</v>
      </c>
      <c r="J8" t="s">
        <v>91</v>
      </c>
      <c r="K8" t="s">
        <v>141</v>
      </c>
      <c r="L8" s="3">
        <v>42842</v>
      </c>
    </row>
    <row r="9" spans="1:12">
      <c r="A9" t="s">
        <v>142</v>
      </c>
      <c r="B9" t="s">
        <v>143</v>
      </c>
      <c r="C9" t="s">
        <v>144</v>
      </c>
      <c r="D9" t="s">
        <v>145</v>
      </c>
      <c r="E9" t="s">
        <v>33</v>
      </c>
      <c r="F9" t="s">
        <v>15</v>
      </c>
      <c r="G9">
        <v>55000</v>
      </c>
      <c r="H9">
        <v>22</v>
      </c>
      <c r="I9" t="str">
        <f t="shared" si="0"/>
        <v>Teenager</v>
      </c>
      <c r="J9" t="s">
        <v>88</v>
      </c>
      <c r="K9" t="s">
        <v>146</v>
      </c>
      <c r="L9" s="3">
        <v>45141</v>
      </c>
    </row>
    <row r="10" spans="1:12">
      <c r="A10" t="s">
        <v>147</v>
      </c>
      <c r="B10" t="s">
        <v>148</v>
      </c>
      <c r="C10" t="s">
        <v>149</v>
      </c>
      <c r="D10" t="s">
        <v>150</v>
      </c>
      <c r="E10" t="s">
        <v>40</v>
      </c>
      <c r="F10" t="s">
        <v>3</v>
      </c>
      <c r="G10">
        <v>68000</v>
      </c>
      <c r="H10">
        <v>27</v>
      </c>
      <c r="I10" t="str">
        <f t="shared" si="0"/>
        <v>Youth</v>
      </c>
      <c r="J10" t="s">
        <v>94</v>
      </c>
      <c r="K10" t="s">
        <v>151</v>
      </c>
      <c r="L10" s="3">
        <v>44514</v>
      </c>
    </row>
    <row r="11" spans="1:12">
      <c r="A11" t="s">
        <v>152</v>
      </c>
      <c r="B11" t="s">
        <v>153</v>
      </c>
      <c r="C11" t="s">
        <v>154</v>
      </c>
      <c r="D11" t="s">
        <v>155</v>
      </c>
      <c r="E11" t="s">
        <v>51</v>
      </c>
      <c r="F11" t="s">
        <v>2</v>
      </c>
      <c r="G11">
        <v>45000</v>
      </c>
      <c r="H11">
        <v>21</v>
      </c>
      <c r="I11" t="str">
        <f t="shared" si="0"/>
        <v>Teenager</v>
      </c>
      <c r="J11" t="s">
        <v>85</v>
      </c>
      <c r="K11" t="s">
        <v>156</v>
      </c>
      <c r="L11" s="3">
        <v>45413</v>
      </c>
    </row>
    <row r="12" spans="1:12">
      <c r="A12" t="s">
        <v>157</v>
      </c>
      <c r="B12" t="s">
        <v>158</v>
      </c>
      <c r="C12" t="s">
        <v>159</v>
      </c>
      <c r="D12" t="s">
        <v>160</v>
      </c>
      <c r="E12" t="s">
        <v>62</v>
      </c>
      <c r="F12" t="s">
        <v>14</v>
      </c>
      <c r="G12">
        <v>50000</v>
      </c>
      <c r="H12">
        <v>45</v>
      </c>
      <c r="I12" t="str">
        <f t="shared" si="0"/>
        <v>Adult</v>
      </c>
      <c r="J12" t="s">
        <v>92</v>
      </c>
      <c r="K12" t="s">
        <v>161</v>
      </c>
      <c r="L12" s="3">
        <v>42709</v>
      </c>
    </row>
    <row r="13" spans="1:12">
      <c r="A13" t="s">
        <v>162</v>
      </c>
      <c r="B13" t="s">
        <v>163</v>
      </c>
      <c r="C13" t="s">
        <v>164</v>
      </c>
      <c r="D13" t="s">
        <v>165</v>
      </c>
      <c r="E13" t="s">
        <v>27</v>
      </c>
      <c r="F13" t="s">
        <v>7</v>
      </c>
      <c r="G13">
        <v>110000</v>
      </c>
      <c r="H13">
        <v>31</v>
      </c>
      <c r="I13" t="str">
        <f t="shared" si="0"/>
        <v>Youth</v>
      </c>
      <c r="J13" t="s">
        <v>91</v>
      </c>
      <c r="K13" t="s">
        <v>166</v>
      </c>
      <c r="L13" s="3">
        <v>43665</v>
      </c>
    </row>
    <row r="14" spans="1:12">
      <c r="A14" t="s">
        <v>167</v>
      </c>
      <c r="B14" t="s">
        <v>168</v>
      </c>
      <c r="C14" t="s">
        <v>169</v>
      </c>
      <c r="D14" t="s">
        <v>170</v>
      </c>
      <c r="E14" t="s">
        <v>36</v>
      </c>
      <c r="F14" t="s">
        <v>8</v>
      </c>
      <c r="G14">
        <v>48000</v>
      </c>
      <c r="H14">
        <v>39</v>
      </c>
      <c r="I14" t="str">
        <f t="shared" si="0"/>
        <v>Adult</v>
      </c>
      <c r="J14" t="s">
        <v>93</v>
      </c>
      <c r="K14" t="s">
        <v>171</v>
      </c>
      <c r="L14" s="3">
        <v>42093</v>
      </c>
    </row>
    <row r="15" spans="1:12">
      <c r="A15" t="s">
        <v>172</v>
      </c>
      <c r="B15" t="s">
        <v>173</v>
      </c>
      <c r="C15" t="s">
        <v>174</v>
      </c>
      <c r="D15" t="s">
        <v>175</v>
      </c>
      <c r="E15" t="s">
        <v>31</v>
      </c>
      <c r="F15" t="s">
        <v>10</v>
      </c>
      <c r="G15">
        <v>65000</v>
      </c>
      <c r="H15">
        <v>25</v>
      </c>
      <c r="I15" t="str">
        <f t="shared" si="0"/>
        <v>Teenager</v>
      </c>
      <c r="J15" t="s">
        <v>95</v>
      </c>
      <c r="K15" t="s">
        <v>176</v>
      </c>
      <c r="L15" s="3">
        <v>44813</v>
      </c>
    </row>
    <row r="16" spans="1:12">
      <c r="A16" t="s">
        <v>177</v>
      </c>
      <c r="B16" t="s">
        <v>178</v>
      </c>
      <c r="C16" t="s">
        <v>179</v>
      </c>
      <c r="D16" t="s">
        <v>180</v>
      </c>
      <c r="E16" t="s">
        <v>71</v>
      </c>
      <c r="F16" t="s">
        <v>8</v>
      </c>
      <c r="G16">
        <v>70000</v>
      </c>
      <c r="H16">
        <v>34</v>
      </c>
      <c r="I16" t="str">
        <f t="shared" si="0"/>
        <v>Youth</v>
      </c>
      <c r="J16" t="s">
        <v>86</v>
      </c>
      <c r="K16" t="s">
        <v>181</v>
      </c>
      <c r="L16" s="3">
        <v>44122</v>
      </c>
    </row>
    <row r="17" spans="1:12">
      <c r="A17" t="s">
        <v>182</v>
      </c>
      <c r="B17" t="s">
        <v>183</v>
      </c>
      <c r="C17" t="s">
        <v>184</v>
      </c>
      <c r="D17" t="s">
        <v>185</v>
      </c>
      <c r="E17" t="s">
        <v>39</v>
      </c>
      <c r="F17" t="s">
        <v>7</v>
      </c>
      <c r="G17">
        <v>115000</v>
      </c>
      <c r="H17">
        <v>23</v>
      </c>
      <c r="I17" t="str">
        <f t="shared" si="0"/>
        <v>Teenager</v>
      </c>
      <c r="J17" t="s">
        <v>83</v>
      </c>
      <c r="K17" t="s">
        <v>186</v>
      </c>
      <c r="L17" s="3">
        <v>44969</v>
      </c>
    </row>
    <row r="18" spans="1:12">
      <c r="A18" t="s">
        <v>187</v>
      </c>
      <c r="B18" t="s">
        <v>188</v>
      </c>
      <c r="C18" t="s">
        <v>189</v>
      </c>
      <c r="D18" t="s">
        <v>190</v>
      </c>
      <c r="E18" t="s">
        <v>58</v>
      </c>
      <c r="F18" t="s">
        <v>13</v>
      </c>
      <c r="G18">
        <v>140000</v>
      </c>
      <c r="H18">
        <v>38</v>
      </c>
      <c r="I18" t="str">
        <f t="shared" si="0"/>
        <v>Adult</v>
      </c>
      <c r="J18" t="s">
        <v>90</v>
      </c>
      <c r="K18" t="s">
        <v>191</v>
      </c>
      <c r="L18" s="3">
        <v>43257</v>
      </c>
    </row>
    <row r="19" spans="1:12">
      <c r="A19" t="s">
        <v>192</v>
      </c>
      <c r="B19" t="s">
        <v>193</v>
      </c>
      <c r="C19" t="s">
        <v>194</v>
      </c>
      <c r="D19" t="s">
        <v>195</v>
      </c>
      <c r="E19" t="s">
        <v>57</v>
      </c>
      <c r="F19" t="s">
        <v>2</v>
      </c>
      <c r="G19">
        <v>50000</v>
      </c>
      <c r="H19">
        <v>20</v>
      </c>
      <c r="I19" t="str">
        <f t="shared" si="0"/>
        <v>Teenager</v>
      </c>
      <c r="J19" t="s">
        <v>78</v>
      </c>
      <c r="K19" t="s">
        <v>78</v>
      </c>
      <c r="L19" s="3">
        <v>45313</v>
      </c>
    </row>
    <row r="20" spans="1:12">
      <c r="A20" t="s">
        <v>196</v>
      </c>
      <c r="B20" t="s">
        <v>197</v>
      </c>
      <c r="C20" t="s">
        <v>198</v>
      </c>
      <c r="D20" t="s">
        <v>199</v>
      </c>
      <c r="E20" t="s">
        <v>49</v>
      </c>
      <c r="F20" t="s">
        <v>7</v>
      </c>
      <c r="G20">
        <v>90000</v>
      </c>
      <c r="H20">
        <v>29</v>
      </c>
      <c r="I20" t="str">
        <f t="shared" si="0"/>
        <v>Youth</v>
      </c>
      <c r="J20" t="s">
        <v>80</v>
      </c>
      <c r="K20" t="s">
        <v>200</v>
      </c>
      <c r="L20" s="3">
        <v>44270</v>
      </c>
    </row>
    <row r="21" spans="1:12">
      <c r="A21" t="s">
        <v>201</v>
      </c>
      <c r="B21" t="s">
        <v>202</v>
      </c>
      <c r="C21" t="s">
        <v>203</v>
      </c>
      <c r="D21" t="s">
        <v>204</v>
      </c>
      <c r="E21" t="s">
        <v>41</v>
      </c>
      <c r="F21" t="s">
        <v>6</v>
      </c>
      <c r="G21">
        <v>60000</v>
      </c>
      <c r="H21">
        <v>26</v>
      </c>
      <c r="I21" t="str">
        <f t="shared" si="0"/>
        <v>Youth</v>
      </c>
      <c r="J21" t="s">
        <v>85</v>
      </c>
      <c r="K21" t="s">
        <v>205</v>
      </c>
      <c r="L21" s="3">
        <v>44768</v>
      </c>
    </row>
    <row r="22" spans="1:12">
      <c r="A22" t="s">
        <v>206</v>
      </c>
      <c r="B22" t="s">
        <v>207</v>
      </c>
      <c r="C22" t="s">
        <v>208</v>
      </c>
      <c r="D22" t="s">
        <v>209</v>
      </c>
      <c r="E22" t="s">
        <v>67</v>
      </c>
      <c r="F22" t="s">
        <v>7</v>
      </c>
      <c r="G22">
        <v>130000</v>
      </c>
      <c r="H22">
        <v>36</v>
      </c>
      <c r="I22" t="str">
        <f t="shared" si="0"/>
        <v>Adult</v>
      </c>
      <c r="J22" t="s">
        <v>91</v>
      </c>
      <c r="K22" t="s">
        <v>210</v>
      </c>
      <c r="L22" s="3">
        <v>43050</v>
      </c>
    </row>
    <row r="23" spans="1:12">
      <c r="A23" t="s">
        <v>211</v>
      </c>
      <c r="B23" t="s">
        <v>212</v>
      </c>
      <c r="C23" t="s">
        <v>213</v>
      </c>
      <c r="D23" t="s">
        <v>214</v>
      </c>
      <c r="E23" t="s">
        <v>68</v>
      </c>
      <c r="F23" t="s">
        <v>12</v>
      </c>
      <c r="G23">
        <v>40000</v>
      </c>
      <c r="H23">
        <v>19</v>
      </c>
      <c r="I23" t="str">
        <f t="shared" si="0"/>
        <v>Teenager</v>
      </c>
      <c r="J23" t="s">
        <v>87</v>
      </c>
      <c r="K23" t="s">
        <v>215</v>
      </c>
      <c r="L23" s="3">
        <v>45355</v>
      </c>
    </row>
    <row r="24" spans="1:12">
      <c r="A24" t="s">
        <v>216</v>
      </c>
      <c r="B24" t="s">
        <v>217</v>
      </c>
      <c r="C24" t="s">
        <v>218</v>
      </c>
      <c r="D24" t="s">
        <v>219</v>
      </c>
      <c r="E24" t="s">
        <v>66</v>
      </c>
      <c r="F24" t="s">
        <v>8</v>
      </c>
      <c r="G24">
        <v>58000</v>
      </c>
      <c r="H24">
        <v>42</v>
      </c>
      <c r="I24" t="str">
        <f t="shared" si="0"/>
        <v>Adult</v>
      </c>
      <c r="J24" t="s">
        <v>77</v>
      </c>
      <c r="K24" t="s">
        <v>220</v>
      </c>
      <c r="L24" s="3">
        <v>41874</v>
      </c>
    </row>
    <row r="25" spans="1:12">
      <c r="A25" t="s">
        <v>221</v>
      </c>
      <c r="B25" t="s">
        <v>222</v>
      </c>
      <c r="C25" t="s">
        <v>119</v>
      </c>
      <c r="D25" t="s">
        <v>223</v>
      </c>
      <c r="E25" t="s">
        <v>52</v>
      </c>
      <c r="F25" t="s">
        <v>5</v>
      </c>
      <c r="G25">
        <v>145000</v>
      </c>
      <c r="H25">
        <v>33</v>
      </c>
      <c r="I25" t="str">
        <f t="shared" si="0"/>
        <v>Youth</v>
      </c>
      <c r="J25" t="s">
        <v>83</v>
      </c>
      <c r="K25" t="s">
        <v>83</v>
      </c>
      <c r="L25" s="3">
        <v>43235</v>
      </c>
    </row>
    <row r="26" spans="1:12">
      <c r="A26" t="s">
        <v>224</v>
      </c>
      <c r="B26" t="s">
        <v>159</v>
      </c>
      <c r="C26" t="s">
        <v>225</v>
      </c>
      <c r="D26" t="s">
        <v>226</v>
      </c>
      <c r="E26" t="s">
        <v>24</v>
      </c>
      <c r="F26" t="s">
        <v>4</v>
      </c>
      <c r="G26">
        <v>55000</v>
      </c>
      <c r="H26">
        <v>23</v>
      </c>
      <c r="I26" t="str">
        <f t="shared" si="0"/>
        <v>Teenager</v>
      </c>
      <c r="J26" t="s">
        <v>98</v>
      </c>
      <c r="K26" t="s">
        <v>98</v>
      </c>
      <c r="L26" s="3">
        <v>45179</v>
      </c>
    </row>
    <row r="27" spans="1:12">
      <c r="A27" t="s">
        <v>227</v>
      </c>
      <c r="B27" t="s">
        <v>228</v>
      </c>
      <c r="C27" t="s">
        <v>229</v>
      </c>
      <c r="D27" t="s">
        <v>230</v>
      </c>
      <c r="E27" t="s">
        <v>60</v>
      </c>
      <c r="F27" t="s">
        <v>12</v>
      </c>
      <c r="G27">
        <v>42000</v>
      </c>
      <c r="H27">
        <v>18</v>
      </c>
      <c r="I27" t="str">
        <f t="shared" si="0"/>
        <v>Teenager</v>
      </c>
      <c r="J27" t="s">
        <v>93</v>
      </c>
      <c r="K27" t="s">
        <v>231</v>
      </c>
      <c r="L27" s="3">
        <v>45383</v>
      </c>
    </row>
    <row r="28" spans="1:12">
      <c r="A28" t="s">
        <v>232</v>
      </c>
      <c r="B28" t="s">
        <v>144</v>
      </c>
      <c r="C28" t="s">
        <v>233</v>
      </c>
      <c r="D28" t="s">
        <v>234</v>
      </c>
      <c r="E28" t="s">
        <v>30</v>
      </c>
      <c r="F28" t="s">
        <v>9</v>
      </c>
      <c r="G28">
        <v>35000</v>
      </c>
      <c r="H28">
        <v>44</v>
      </c>
      <c r="I28" t="str">
        <f t="shared" si="0"/>
        <v>Adult</v>
      </c>
      <c r="J28" t="s">
        <v>86</v>
      </c>
      <c r="K28" t="s">
        <v>86</v>
      </c>
      <c r="L28" s="3">
        <v>42414</v>
      </c>
    </row>
    <row r="29" spans="1:12">
      <c r="A29" t="s">
        <v>235</v>
      </c>
      <c r="B29" t="s">
        <v>236</v>
      </c>
      <c r="C29" t="s">
        <v>237</v>
      </c>
      <c r="D29" t="s">
        <v>238</v>
      </c>
      <c r="E29" t="s">
        <v>42</v>
      </c>
      <c r="F29" t="s">
        <v>6</v>
      </c>
      <c r="G29">
        <v>160000</v>
      </c>
      <c r="H29">
        <v>39</v>
      </c>
      <c r="I29" t="str">
        <f t="shared" si="0"/>
        <v>Adult</v>
      </c>
      <c r="J29" t="s">
        <v>91</v>
      </c>
      <c r="K29" t="s">
        <v>239</v>
      </c>
      <c r="L29" s="3">
        <v>42544</v>
      </c>
    </row>
    <row r="30" spans="1:12">
      <c r="A30" t="s">
        <v>240</v>
      </c>
      <c r="B30" t="s">
        <v>241</v>
      </c>
      <c r="C30" t="s">
        <v>242</v>
      </c>
      <c r="D30" t="s">
        <v>243</v>
      </c>
      <c r="E30" t="s">
        <v>38</v>
      </c>
      <c r="F30" t="s">
        <v>8</v>
      </c>
      <c r="G30">
        <v>65000</v>
      </c>
      <c r="H30">
        <v>30</v>
      </c>
      <c r="I30" t="str">
        <f t="shared" si="0"/>
        <v>Youth</v>
      </c>
      <c r="J30" t="s">
        <v>86</v>
      </c>
      <c r="K30" t="s">
        <v>126</v>
      </c>
      <c r="L30" s="3">
        <v>44050</v>
      </c>
    </row>
    <row r="31" spans="1:12">
      <c r="A31" t="s">
        <v>244</v>
      </c>
      <c r="B31" t="s">
        <v>245</v>
      </c>
      <c r="C31" t="s">
        <v>246</v>
      </c>
      <c r="D31" t="s">
        <v>247</v>
      </c>
      <c r="E31" t="s">
        <v>70</v>
      </c>
      <c r="F31" t="s">
        <v>3</v>
      </c>
      <c r="G31">
        <v>105000</v>
      </c>
      <c r="H31">
        <v>24</v>
      </c>
      <c r="I31" t="str">
        <f t="shared" si="0"/>
        <v>Teenager</v>
      </c>
      <c r="J31" t="s">
        <v>75</v>
      </c>
      <c r="K31" t="s">
        <v>121</v>
      </c>
      <c r="L31" s="3">
        <v>45063</v>
      </c>
    </row>
    <row r="32" spans="1:12">
      <c r="A32" t="s">
        <v>248</v>
      </c>
      <c r="B32" t="s">
        <v>249</v>
      </c>
      <c r="C32" t="s">
        <v>250</v>
      </c>
      <c r="D32" t="s">
        <v>251</v>
      </c>
      <c r="E32" t="s">
        <v>26</v>
      </c>
      <c r="F32" t="s">
        <v>4</v>
      </c>
      <c r="G32">
        <v>135000</v>
      </c>
      <c r="H32">
        <v>46</v>
      </c>
      <c r="I32" t="str">
        <f t="shared" si="0"/>
        <v>Adult</v>
      </c>
      <c r="J32" t="s">
        <v>84</v>
      </c>
      <c r="K32" t="s">
        <v>252</v>
      </c>
      <c r="L32" s="3">
        <v>42013</v>
      </c>
    </row>
    <row r="33" spans="1:12">
      <c r="A33" t="s">
        <v>253</v>
      </c>
      <c r="B33" t="s">
        <v>254</v>
      </c>
      <c r="C33" t="s">
        <v>255</v>
      </c>
      <c r="D33" t="s">
        <v>256</v>
      </c>
      <c r="E33" t="s">
        <v>32</v>
      </c>
      <c r="F33" t="s">
        <v>15</v>
      </c>
      <c r="G33">
        <v>70000</v>
      </c>
      <c r="H33">
        <v>28</v>
      </c>
      <c r="I33" t="str">
        <f t="shared" si="0"/>
        <v>Youth</v>
      </c>
      <c r="J33" t="s">
        <v>91</v>
      </c>
      <c r="K33" t="s">
        <v>257</v>
      </c>
      <c r="L33" s="3">
        <v>44870</v>
      </c>
    </row>
    <row r="34" spans="1:12">
      <c r="A34" t="s">
        <v>258</v>
      </c>
      <c r="B34" t="s">
        <v>124</v>
      </c>
      <c r="C34" t="s">
        <v>259</v>
      </c>
      <c r="D34" t="s">
        <v>260</v>
      </c>
      <c r="E34" t="s">
        <v>54</v>
      </c>
      <c r="F34" t="s">
        <v>11</v>
      </c>
      <c r="G34">
        <v>95000</v>
      </c>
      <c r="H34">
        <v>35</v>
      </c>
      <c r="I34" t="str">
        <f t="shared" si="0"/>
        <v>Adult</v>
      </c>
      <c r="J34" t="s">
        <v>87</v>
      </c>
      <c r="K34" t="s">
        <v>87</v>
      </c>
      <c r="L34" s="3">
        <v>43737</v>
      </c>
    </row>
    <row r="35" spans="1:12">
      <c r="A35" t="s">
        <v>261</v>
      </c>
      <c r="B35" t="s">
        <v>262</v>
      </c>
      <c r="C35" t="s">
        <v>263</v>
      </c>
      <c r="D35" t="s">
        <v>264</v>
      </c>
      <c r="E35" t="s">
        <v>37</v>
      </c>
      <c r="F35" t="s">
        <v>9</v>
      </c>
      <c r="G35">
        <v>78000</v>
      </c>
      <c r="H35">
        <v>41</v>
      </c>
      <c r="I35" t="str">
        <f t="shared" si="0"/>
        <v>Adult</v>
      </c>
      <c r="J35" t="s">
        <v>82</v>
      </c>
      <c r="K35" t="s">
        <v>265</v>
      </c>
      <c r="L35" s="3">
        <v>43018</v>
      </c>
    </row>
    <row r="36" spans="1:12">
      <c r="A36" t="s">
        <v>266</v>
      </c>
      <c r="B36" t="s">
        <v>267</v>
      </c>
      <c r="C36" t="s">
        <v>268</v>
      </c>
      <c r="D36" t="s">
        <v>269</v>
      </c>
      <c r="E36" t="s">
        <v>46</v>
      </c>
      <c r="F36" t="s">
        <v>3</v>
      </c>
      <c r="G36">
        <v>60000</v>
      </c>
      <c r="H36">
        <v>22</v>
      </c>
      <c r="I36" t="str">
        <f t="shared" si="0"/>
        <v>Teenager</v>
      </c>
      <c r="J36" t="s">
        <v>90</v>
      </c>
      <c r="K36" t="s">
        <v>270</v>
      </c>
      <c r="L36" s="3">
        <v>44896</v>
      </c>
    </row>
    <row r="37" spans="1:12">
      <c r="A37" t="s">
        <v>271</v>
      </c>
      <c r="B37" t="s">
        <v>272</v>
      </c>
      <c r="C37" t="s">
        <v>273</v>
      </c>
      <c r="D37" t="s">
        <v>274</v>
      </c>
      <c r="E37" t="s">
        <v>45</v>
      </c>
      <c r="F37" t="s">
        <v>12</v>
      </c>
      <c r="G37">
        <v>85000</v>
      </c>
      <c r="H37">
        <v>37</v>
      </c>
      <c r="I37" t="str">
        <f t="shared" si="0"/>
        <v>Adult</v>
      </c>
      <c r="J37" t="s">
        <v>81</v>
      </c>
      <c r="K37" t="s">
        <v>275</v>
      </c>
      <c r="L37" s="3">
        <v>43208</v>
      </c>
    </row>
    <row r="38" spans="1:12">
      <c r="A38" t="s">
        <v>276</v>
      </c>
      <c r="B38" t="s">
        <v>277</v>
      </c>
      <c r="C38" t="s">
        <v>278</v>
      </c>
      <c r="D38" t="s">
        <v>279</v>
      </c>
      <c r="E38" t="s">
        <v>60</v>
      </c>
      <c r="F38" t="s">
        <v>12</v>
      </c>
      <c r="G38">
        <v>41000</v>
      </c>
      <c r="H38">
        <v>19</v>
      </c>
      <c r="I38" t="str">
        <f t="shared" si="0"/>
        <v>Teenager</v>
      </c>
      <c r="J38" t="s">
        <v>96</v>
      </c>
      <c r="K38" t="s">
        <v>280</v>
      </c>
      <c r="L38" s="3">
        <v>45463</v>
      </c>
    </row>
    <row r="39" spans="1:12">
      <c r="A39" t="s">
        <v>281</v>
      </c>
      <c r="B39" t="s">
        <v>282</v>
      </c>
      <c r="C39" t="s">
        <v>283</v>
      </c>
      <c r="D39" t="s">
        <v>284</v>
      </c>
      <c r="E39" t="s">
        <v>50</v>
      </c>
      <c r="F39" t="s">
        <v>5</v>
      </c>
      <c r="G39">
        <v>120000</v>
      </c>
      <c r="H39">
        <v>29</v>
      </c>
      <c r="I39" t="str">
        <f t="shared" si="0"/>
        <v>Youth</v>
      </c>
      <c r="J39" t="s">
        <v>86</v>
      </c>
      <c r="K39" t="s">
        <v>86</v>
      </c>
      <c r="L39" s="3">
        <v>44423</v>
      </c>
    </row>
    <row r="40" spans="1:12">
      <c r="A40" t="s">
        <v>285</v>
      </c>
      <c r="B40" t="s">
        <v>286</v>
      </c>
      <c r="C40" t="s">
        <v>287</v>
      </c>
      <c r="D40" t="s">
        <v>288</v>
      </c>
      <c r="E40" t="s">
        <v>56</v>
      </c>
      <c r="F40" t="s">
        <v>12</v>
      </c>
      <c r="G40">
        <v>95000</v>
      </c>
      <c r="H40">
        <v>45</v>
      </c>
      <c r="I40" t="str">
        <f t="shared" si="0"/>
        <v>Adult</v>
      </c>
      <c r="J40" t="s">
        <v>93</v>
      </c>
      <c r="K40" t="s">
        <v>289</v>
      </c>
      <c r="L40" s="3">
        <v>42558</v>
      </c>
    </row>
    <row r="41" spans="1:12">
      <c r="A41" t="s">
        <v>290</v>
      </c>
      <c r="B41" t="s">
        <v>133</v>
      </c>
      <c r="C41" t="s">
        <v>291</v>
      </c>
      <c r="D41" t="s">
        <v>292</v>
      </c>
      <c r="E41" t="s">
        <v>28</v>
      </c>
      <c r="F41" t="s">
        <v>4</v>
      </c>
      <c r="G41">
        <v>52000</v>
      </c>
      <c r="H41">
        <v>20</v>
      </c>
      <c r="I41" t="str">
        <f t="shared" si="0"/>
        <v>Teenager</v>
      </c>
      <c r="J41" t="s">
        <v>79</v>
      </c>
      <c r="K41" t="s">
        <v>293</v>
      </c>
      <c r="L41" s="3">
        <v>45209</v>
      </c>
    </row>
    <row r="42" spans="1:12">
      <c r="A42" t="s">
        <v>294</v>
      </c>
      <c r="B42" t="s">
        <v>242</v>
      </c>
      <c r="C42" t="s">
        <v>295</v>
      </c>
      <c r="D42" t="s">
        <v>296</v>
      </c>
      <c r="E42" t="s">
        <v>69</v>
      </c>
      <c r="F42" t="s">
        <v>8</v>
      </c>
      <c r="G42">
        <v>75000</v>
      </c>
      <c r="H42">
        <v>52</v>
      </c>
      <c r="I42" t="str">
        <f t="shared" si="0"/>
        <v>Old</v>
      </c>
      <c r="J42" t="s">
        <v>88</v>
      </c>
      <c r="K42" t="s">
        <v>297</v>
      </c>
      <c r="L42" s="3">
        <v>41336</v>
      </c>
    </row>
    <row r="43" spans="1:12">
      <c r="A43" t="s">
        <v>298</v>
      </c>
      <c r="B43" t="s">
        <v>299</v>
      </c>
      <c r="C43" t="s">
        <v>300</v>
      </c>
      <c r="D43" t="s">
        <v>301</v>
      </c>
      <c r="E43" t="s">
        <v>29</v>
      </c>
      <c r="F43" t="s">
        <v>15</v>
      </c>
      <c r="G43">
        <v>45000</v>
      </c>
      <c r="H43">
        <v>48</v>
      </c>
      <c r="I43" t="str">
        <f t="shared" si="0"/>
        <v>Adult</v>
      </c>
      <c r="J43" t="s">
        <v>75</v>
      </c>
      <c r="K43" t="s">
        <v>302</v>
      </c>
      <c r="L43" s="3">
        <v>41166</v>
      </c>
    </row>
    <row r="44" spans="1:12">
      <c r="A44" t="s">
        <v>303</v>
      </c>
      <c r="B44" t="s">
        <v>304</v>
      </c>
      <c r="C44" t="s">
        <v>305</v>
      </c>
      <c r="D44" t="s">
        <v>306</v>
      </c>
      <c r="E44" t="s">
        <v>63</v>
      </c>
      <c r="F44" t="s">
        <v>14</v>
      </c>
      <c r="G44">
        <v>90000</v>
      </c>
      <c r="H44">
        <v>43</v>
      </c>
      <c r="I44" t="str">
        <f t="shared" si="0"/>
        <v>Adult</v>
      </c>
      <c r="J44" t="s">
        <v>97</v>
      </c>
      <c r="K44" t="s">
        <v>307</v>
      </c>
      <c r="L44" s="3">
        <v>42130</v>
      </c>
    </row>
    <row r="45" spans="1:12">
      <c r="A45" t="s">
        <v>308</v>
      </c>
      <c r="B45" t="s">
        <v>309</v>
      </c>
      <c r="C45" t="s">
        <v>310</v>
      </c>
      <c r="D45" t="s">
        <v>311</v>
      </c>
      <c r="E45" t="s">
        <v>64</v>
      </c>
      <c r="F45" t="s">
        <v>10</v>
      </c>
      <c r="G45">
        <v>95000</v>
      </c>
      <c r="H45">
        <v>26</v>
      </c>
      <c r="I45" t="str">
        <f t="shared" si="0"/>
        <v>Youth</v>
      </c>
      <c r="J45" t="s">
        <v>91</v>
      </c>
      <c r="K45" t="s">
        <v>111</v>
      </c>
      <c r="L45" s="3">
        <v>44791</v>
      </c>
    </row>
    <row r="46" spans="1:12">
      <c r="A46" t="s">
        <v>312</v>
      </c>
      <c r="B46" t="s">
        <v>313</v>
      </c>
      <c r="C46" t="s">
        <v>314</v>
      </c>
      <c r="D46" t="s">
        <v>315</v>
      </c>
      <c r="E46" t="s">
        <v>48</v>
      </c>
      <c r="F46" t="s">
        <v>9</v>
      </c>
      <c r="G46">
        <v>72000</v>
      </c>
      <c r="H46">
        <v>39</v>
      </c>
      <c r="I46" t="str">
        <f t="shared" si="0"/>
        <v>Adult</v>
      </c>
      <c r="J46" t="s">
        <v>87</v>
      </c>
      <c r="K46" t="s">
        <v>87</v>
      </c>
      <c r="L46" s="3">
        <v>42398</v>
      </c>
    </row>
    <row r="47" spans="1:12">
      <c r="A47" t="s">
        <v>316</v>
      </c>
      <c r="B47" t="s">
        <v>317</v>
      </c>
      <c r="C47" t="s">
        <v>318</v>
      </c>
      <c r="D47" t="s">
        <v>319</v>
      </c>
      <c r="E47" t="s">
        <v>61</v>
      </c>
      <c r="F47" t="s">
        <v>2</v>
      </c>
      <c r="G47">
        <v>60000</v>
      </c>
      <c r="H47">
        <v>24</v>
      </c>
      <c r="I47" t="str">
        <f t="shared" si="0"/>
        <v>Teenager</v>
      </c>
      <c r="J47" t="s">
        <v>76</v>
      </c>
      <c r="K47" t="s">
        <v>320</v>
      </c>
      <c r="L47" s="3">
        <v>45006</v>
      </c>
    </row>
    <row r="48" spans="1:12">
      <c r="A48" t="s">
        <v>321</v>
      </c>
      <c r="B48" t="s">
        <v>322</v>
      </c>
      <c r="C48" t="s">
        <v>323</v>
      </c>
      <c r="D48" t="s">
        <v>324</v>
      </c>
      <c r="E48" t="s">
        <v>53</v>
      </c>
      <c r="F48" t="s">
        <v>3</v>
      </c>
      <c r="G48">
        <v>88000</v>
      </c>
      <c r="H48">
        <v>36</v>
      </c>
      <c r="I48" t="str">
        <f t="shared" si="0"/>
        <v>Adult</v>
      </c>
      <c r="J48" t="s">
        <v>91</v>
      </c>
      <c r="K48" t="s">
        <v>325</v>
      </c>
      <c r="L48" s="3">
        <v>43808</v>
      </c>
    </row>
    <row r="49" spans="1:12">
      <c r="A49" t="s">
        <v>326</v>
      </c>
      <c r="B49" t="s">
        <v>327</v>
      </c>
      <c r="C49" t="s">
        <v>188</v>
      </c>
      <c r="D49" t="s">
        <v>328</v>
      </c>
      <c r="E49" t="s">
        <v>68</v>
      </c>
      <c r="F49" t="s">
        <v>12</v>
      </c>
      <c r="G49">
        <v>42000</v>
      </c>
      <c r="H49">
        <v>18</v>
      </c>
      <c r="I49" t="str">
        <f t="shared" si="0"/>
        <v>Teenager</v>
      </c>
      <c r="J49" t="s">
        <v>89</v>
      </c>
      <c r="K49" t="s">
        <v>329</v>
      </c>
      <c r="L49" s="3">
        <v>45393</v>
      </c>
    </row>
    <row r="50" spans="1:12">
      <c r="A50" t="s">
        <v>330</v>
      </c>
      <c r="B50" t="s">
        <v>331</v>
      </c>
      <c r="C50" t="s">
        <v>332</v>
      </c>
      <c r="D50" t="s">
        <v>333</v>
      </c>
      <c r="E50" t="s">
        <v>35</v>
      </c>
      <c r="F50" t="s">
        <v>8</v>
      </c>
      <c r="G50">
        <v>54000</v>
      </c>
      <c r="H50">
        <v>21</v>
      </c>
      <c r="I50" t="str">
        <f t="shared" si="0"/>
        <v>Teenager</v>
      </c>
      <c r="J50" t="s">
        <v>93</v>
      </c>
      <c r="K50" t="s">
        <v>334</v>
      </c>
      <c r="L50" s="3">
        <v>45108</v>
      </c>
    </row>
    <row r="51" spans="1:12">
      <c r="A51" t="s">
        <v>335</v>
      </c>
      <c r="B51" t="s">
        <v>336</v>
      </c>
      <c r="C51" t="s">
        <v>337</v>
      </c>
      <c r="D51" t="s">
        <v>338</v>
      </c>
      <c r="E51" t="s">
        <v>44</v>
      </c>
      <c r="F51" t="s">
        <v>8</v>
      </c>
      <c r="G51">
        <v>92000</v>
      </c>
      <c r="H51">
        <v>33</v>
      </c>
      <c r="I51" t="str">
        <f t="shared" si="0"/>
        <v>Youth</v>
      </c>
      <c r="J51" t="s">
        <v>94</v>
      </c>
      <c r="K51" t="s">
        <v>94</v>
      </c>
      <c r="L51" s="3">
        <v>43573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showGridLines="0" tabSelected="1" topLeftCell="A3" workbookViewId="0">
      <selection sqref="A1:O6"/>
    </sheetView>
  </sheetViews>
  <sheetFormatPr defaultColWidth="8.81640625" defaultRowHeight="14.5"/>
  <cols>
    <col min="18" max="18" width="8.81640625" hidden="1" customWidth="1"/>
    <col min="23" max="23" width="8.81640625" hidden="1" customWidth="1"/>
  </cols>
  <sheetData>
    <row r="1" spans="1:22">
      <c r="A1" s="6" t="s">
        <v>339</v>
      </c>
      <c r="B1" s="5"/>
      <c r="C1" s="5"/>
      <c r="D1" s="5"/>
      <c r="E1" s="5"/>
      <c r="F1" s="5"/>
      <c r="G1" s="5"/>
      <c r="H1" s="5"/>
      <c r="I1" s="5"/>
      <c r="J1" s="5"/>
      <c r="K1" s="5"/>
      <c r="L1" s="5"/>
      <c r="M1" s="5"/>
      <c r="N1" s="5"/>
      <c r="O1" s="5"/>
      <c r="P1" s="1"/>
      <c r="Q1" s="1"/>
      <c r="R1" s="1"/>
      <c r="S1" s="1"/>
      <c r="T1" s="1"/>
      <c r="U1" s="1"/>
      <c r="V1" s="1"/>
    </row>
    <row r="2" spans="1:22">
      <c r="A2" s="5"/>
      <c r="B2" s="5"/>
      <c r="C2" s="5"/>
      <c r="D2" s="5"/>
      <c r="E2" s="5"/>
      <c r="F2" s="5"/>
      <c r="G2" s="5"/>
      <c r="H2" s="5"/>
      <c r="I2" s="5"/>
      <c r="J2" s="5"/>
      <c r="K2" s="5"/>
      <c r="L2" s="5"/>
      <c r="M2" s="5"/>
      <c r="N2" s="5"/>
      <c r="O2" s="5"/>
      <c r="P2" s="1"/>
      <c r="Q2" s="1"/>
      <c r="R2" s="1"/>
      <c r="S2" s="1"/>
      <c r="T2" s="1"/>
      <c r="U2" s="1"/>
      <c r="V2" s="1"/>
    </row>
    <row r="3" spans="1:22">
      <c r="A3" s="5"/>
      <c r="B3" s="5"/>
      <c r="C3" s="5"/>
      <c r="D3" s="5"/>
      <c r="E3" s="5"/>
      <c r="F3" s="5"/>
      <c r="G3" s="5"/>
      <c r="H3" s="5"/>
      <c r="I3" s="5"/>
      <c r="J3" s="5"/>
      <c r="K3" s="5"/>
      <c r="L3" s="5"/>
      <c r="M3" s="5"/>
      <c r="N3" s="5"/>
      <c r="O3" s="5"/>
      <c r="P3" s="1"/>
      <c r="Q3" s="1"/>
      <c r="R3" s="1"/>
      <c r="S3" s="1"/>
      <c r="T3" s="1"/>
      <c r="U3" s="1"/>
      <c r="V3" s="1"/>
    </row>
    <row r="4" spans="1:22">
      <c r="A4" s="5"/>
      <c r="B4" s="5"/>
      <c r="C4" s="5"/>
      <c r="D4" s="5"/>
      <c r="E4" s="5"/>
      <c r="F4" s="5"/>
      <c r="G4" s="5"/>
      <c r="H4" s="5"/>
      <c r="I4" s="5"/>
      <c r="J4" s="5"/>
      <c r="K4" s="5"/>
      <c r="L4" s="5"/>
      <c r="M4" s="5"/>
      <c r="N4" s="5"/>
      <c r="O4" s="5"/>
      <c r="P4" s="1"/>
      <c r="Q4" s="1"/>
      <c r="R4" s="1"/>
      <c r="S4" s="1"/>
      <c r="T4" s="1"/>
      <c r="U4" s="1"/>
      <c r="V4" s="1"/>
    </row>
    <row r="5" spans="1:22">
      <c r="A5" s="5"/>
      <c r="B5" s="5"/>
      <c r="C5" s="5"/>
      <c r="D5" s="5"/>
      <c r="E5" s="5"/>
      <c r="F5" s="5"/>
      <c r="G5" s="5"/>
      <c r="H5" s="5"/>
      <c r="I5" s="5"/>
      <c r="J5" s="5"/>
      <c r="K5" s="5"/>
      <c r="L5" s="5"/>
      <c r="M5" s="5"/>
      <c r="N5" s="5"/>
      <c r="O5" s="5"/>
      <c r="P5" s="1"/>
      <c r="Q5" s="1"/>
      <c r="R5" s="1"/>
      <c r="S5" s="1"/>
      <c r="T5" s="1"/>
      <c r="U5" s="1"/>
      <c r="V5" s="1"/>
    </row>
    <row r="6" spans="1:22">
      <c r="A6" s="5"/>
      <c r="B6" s="5"/>
      <c r="C6" s="5"/>
      <c r="D6" s="5"/>
      <c r="E6" s="5"/>
      <c r="F6" s="5"/>
      <c r="G6" s="5"/>
      <c r="H6" s="5"/>
      <c r="I6" s="5"/>
      <c r="J6" s="5"/>
      <c r="K6" s="5"/>
      <c r="L6" s="5"/>
      <c r="M6" s="5"/>
      <c r="N6" s="5"/>
      <c r="O6" s="5"/>
      <c r="P6" s="1"/>
      <c r="Q6" s="1"/>
      <c r="R6" s="1"/>
      <c r="S6" s="1"/>
      <c r="T6" s="1"/>
      <c r="U6" s="1"/>
      <c r="V6" s="1"/>
    </row>
    <row r="7" spans="1:22">
      <c r="A7" s="1"/>
      <c r="B7" s="1"/>
      <c r="C7" s="1"/>
      <c r="D7" s="1"/>
      <c r="E7" s="1"/>
      <c r="F7" s="1"/>
      <c r="G7" s="1"/>
      <c r="H7" s="1"/>
      <c r="I7" s="1"/>
      <c r="J7" s="1"/>
      <c r="K7" s="1"/>
      <c r="L7" s="1"/>
      <c r="M7" s="1"/>
      <c r="N7" s="1"/>
      <c r="O7" s="1"/>
      <c r="P7" s="1"/>
      <c r="Q7" s="1"/>
      <c r="R7" s="1"/>
      <c r="S7" s="1"/>
      <c r="T7" s="1"/>
      <c r="U7" s="1"/>
      <c r="V7" s="1"/>
    </row>
    <row r="8" spans="1:22">
      <c r="A8" s="1"/>
      <c r="B8" s="1"/>
      <c r="C8" s="1"/>
      <c r="D8" s="1"/>
      <c r="E8" s="1"/>
      <c r="F8" s="1"/>
      <c r="G8" s="1"/>
      <c r="H8" s="1"/>
      <c r="I8" s="1"/>
      <c r="J8" s="1"/>
      <c r="K8" s="1"/>
      <c r="L8" s="1"/>
      <c r="M8" s="1"/>
      <c r="N8" s="1"/>
      <c r="O8" s="1"/>
      <c r="P8" s="1"/>
      <c r="Q8" s="1"/>
      <c r="R8" s="1"/>
      <c r="S8" s="1"/>
      <c r="T8" s="1"/>
      <c r="U8" s="1"/>
      <c r="V8" s="1"/>
    </row>
    <row r="9" spans="1:22">
      <c r="A9" s="1"/>
      <c r="B9" s="1"/>
      <c r="C9" s="1"/>
      <c r="D9" s="1"/>
      <c r="E9" s="1"/>
      <c r="F9" s="1"/>
      <c r="G9" s="1"/>
      <c r="H9" s="1"/>
      <c r="I9" s="1"/>
      <c r="J9" s="1"/>
      <c r="K9" s="1"/>
      <c r="L9" s="1"/>
      <c r="M9" s="1"/>
      <c r="N9" s="1"/>
      <c r="O9" s="1"/>
      <c r="P9" s="1"/>
      <c r="Q9" s="1"/>
      <c r="R9" s="1"/>
      <c r="S9" s="1"/>
      <c r="T9" s="1"/>
      <c r="U9" s="1"/>
      <c r="V9" s="1"/>
    </row>
    <row r="10" spans="1:22">
      <c r="A10" s="1"/>
      <c r="B10" s="1"/>
      <c r="C10" s="1"/>
      <c r="D10" s="1"/>
      <c r="E10" s="1"/>
      <c r="F10" s="1"/>
      <c r="G10" s="1"/>
      <c r="H10" s="1"/>
      <c r="I10" s="1"/>
      <c r="J10" s="1"/>
      <c r="K10" s="1"/>
      <c r="L10" s="1"/>
      <c r="M10" s="1"/>
      <c r="N10" s="1"/>
      <c r="O10" s="1"/>
      <c r="P10" s="1"/>
      <c r="Q10" s="1"/>
      <c r="R10" s="1"/>
      <c r="S10" s="1"/>
      <c r="T10" s="1"/>
      <c r="U10" s="1"/>
      <c r="V10" s="1"/>
    </row>
    <row r="11" spans="1:22">
      <c r="A11" s="1"/>
      <c r="B11" s="1"/>
      <c r="C11" s="1"/>
      <c r="D11" s="1"/>
      <c r="E11" s="1"/>
      <c r="F11" s="1"/>
      <c r="G11" s="1"/>
      <c r="H11" s="1"/>
      <c r="I11" s="1"/>
      <c r="J11" s="1"/>
      <c r="K11" s="1"/>
      <c r="L11" s="1"/>
      <c r="M11" s="1"/>
      <c r="N11" s="1"/>
      <c r="O11" s="1"/>
      <c r="P11" s="1"/>
      <c r="Q11" s="1"/>
      <c r="R11" s="1"/>
      <c r="S11" s="1"/>
      <c r="T11" s="1"/>
      <c r="U11" s="1"/>
      <c r="V11" s="1"/>
    </row>
    <row r="12" spans="1:22">
      <c r="A12" s="1"/>
      <c r="B12" s="1"/>
      <c r="C12" s="1"/>
      <c r="D12" s="1"/>
      <c r="E12" s="1"/>
      <c r="F12" s="1"/>
      <c r="G12" s="1"/>
      <c r="H12" s="1"/>
      <c r="I12" s="1"/>
      <c r="J12" s="1"/>
      <c r="K12" s="1"/>
      <c r="L12" s="1"/>
      <c r="M12" s="1"/>
      <c r="N12" s="1"/>
      <c r="O12" s="1"/>
      <c r="P12" s="1"/>
      <c r="Q12" s="1"/>
      <c r="R12" s="1"/>
      <c r="S12" s="1"/>
      <c r="T12" s="1"/>
      <c r="U12" s="1"/>
      <c r="V12" s="1"/>
    </row>
    <row r="13" spans="1:22">
      <c r="A13" s="1"/>
      <c r="B13" s="1"/>
      <c r="C13" s="1"/>
      <c r="D13" s="1"/>
      <c r="E13" s="1"/>
      <c r="F13" s="1"/>
      <c r="G13" s="1"/>
      <c r="H13" s="1"/>
      <c r="I13" s="1"/>
      <c r="J13" s="1"/>
      <c r="K13" s="1"/>
      <c r="L13" s="1"/>
      <c r="M13" s="1"/>
      <c r="N13" s="1"/>
      <c r="O13" s="1"/>
      <c r="P13" s="1"/>
      <c r="Q13" s="1"/>
      <c r="R13" s="1"/>
      <c r="S13" s="1"/>
      <c r="T13" s="1"/>
      <c r="U13" s="1"/>
      <c r="V13" s="1"/>
    </row>
    <row r="14" spans="1:22">
      <c r="A14" s="1"/>
      <c r="B14" s="1"/>
      <c r="C14" s="1"/>
      <c r="D14" s="1"/>
      <c r="E14" s="1"/>
      <c r="F14" s="1"/>
      <c r="G14" s="1"/>
      <c r="H14" s="1"/>
      <c r="I14" s="1"/>
      <c r="J14" s="1"/>
      <c r="K14" s="1"/>
      <c r="L14" s="1"/>
      <c r="M14" s="1"/>
      <c r="N14" s="1"/>
      <c r="O14" s="1"/>
      <c r="P14" s="1"/>
      <c r="Q14" s="1"/>
      <c r="R14" s="1"/>
      <c r="S14" s="1"/>
      <c r="T14" s="1"/>
      <c r="U14" s="1"/>
      <c r="V14" s="1"/>
    </row>
    <row r="15" spans="1:22">
      <c r="A15" s="1"/>
      <c r="B15" s="1"/>
      <c r="C15" s="1"/>
      <c r="D15" s="1"/>
      <c r="E15" s="1"/>
      <c r="F15" s="1"/>
      <c r="G15" s="1"/>
      <c r="H15" s="1"/>
      <c r="I15" s="1"/>
      <c r="J15" s="1"/>
      <c r="K15" s="1"/>
      <c r="L15" s="1"/>
      <c r="M15" s="1"/>
      <c r="N15" s="1"/>
      <c r="O15" s="1"/>
      <c r="P15" s="1"/>
      <c r="Q15" s="1"/>
      <c r="R15" s="1"/>
      <c r="S15" s="1"/>
      <c r="T15" s="1"/>
      <c r="U15" s="1"/>
      <c r="V15" s="1"/>
    </row>
    <row r="16" spans="1:22">
      <c r="A16" s="1"/>
      <c r="B16" s="1"/>
      <c r="C16" s="1"/>
      <c r="D16" s="1"/>
      <c r="E16" s="1"/>
      <c r="F16" s="1"/>
      <c r="G16" s="1"/>
      <c r="H16" s="1"/>
      <c r="I16" s="1"/>
      <c r="J16" s="1"/>
      <c r="K16" s="1"/>
      <c r="L16" s="1"/>
      <c r="M16" s="1"/>
      <c r="N16" s="1"/>
      <c r="O16" s="1"/>
      <c r="P16" s="1"/>
      <c r="Q16" s="1"/>
      <c r="R16" s="1"/>
      <c r="S16" s="1"/>
      <c r="T16" s="1"/>
      <c r="U16" s="1"/>
      <c r="V16" s="1"/>
    </row>
    <row r="17" spans="1:22">
      <c r="A17" s="1"/>
      <c r="B17" s="1"/>
      <c r="C17" s="1"/>
      <c r="D17" s="1"/>
      <c r="E17" s="1"/>
      <c r="F17" s="1"/>
      <c r="G17" s="1"/>
      <c r="H17" s="1"/>
      <c r="I17" s="1"/>
      <c r="J17" s="1"/>
      <c r="K17" s="1"/>
      <c r="L17" s="1"/>
      <c r="M17" s="1"/>
      <c r="N17" s="1"/>
      <c r="O17" s="1"/>
      <c r="P17" s="1"/>
      <c r="Q17" s="1"/>
      <c r="R17" s="1"/>
      <c r="S17" s="1"/>
      <c r="T17" s="1"/>
      <c r="U17" s="1"/>
      <c r="V17" s="1"/>
    </row>
    <row r="18" spans="1:22">
      <c r="A18" s="1"/>
      <c r="B18" s="1"/>
      <c r="C18" s="1"/>
      <c r="D18" s="1"/>
      <c r="E18" s="1"/>
      <c r="F18" s="1"/>
      <c r="G18" s="1"/>
      <c r="H18" s="1"/>
      <c r="I18" s="1"/>
      <c r="J18" s="1"/>
      <c r="K18" s="1"/>
      <c r="L18" s="1"/>
      <c r="M18" s="1"/>
      <c r="N18" s="1"/>
      <c r="O18" s="1"/>
      <c r="P18" s="1"/>
      <c r="Q18" s="1"/>
      <c r="R18" s="1"/>
      <c r="S18" s="1"/>
      <c r="T18" s="1"/>
      <c r="U18" s="1"/>
      <c r="V18" s="1"/>
    </row>
    <row r="19" spans="1:22">
      <c r="A19" s="1"/>
      <c r="B19" s="1"/>
      <c r="C19" s="1"/>
      <c r="D19" s="1"/>
      <c r="E19" s="1"/>
      <c r="F19" s="1"/>
      <c r="G19" s="1"/>
      <c r="H19" s="1"/>
      <c r="I19" s="1"/>
      <c r="J19" s="1"/>
      <c r="K19" s="1"/>
      <c r="L19" s="1"/>
      <c r="M19" s="1"/>
      <c r="N19" s="1"/>
      <c r="O19" s="1"/>
      <c r="P19" s="1"/>
      <c r="Q19" s="1"/>
      <c r="R19" s="1"/>
      <c r="S19" s="1"/>
      <c r="T19" s="1"/>
      <c r="U19" s="1"/>
      <c r="V19" s="1"/>
    </row>
    <row r="20" spans="1:22">
      <c r="A20" s="1"/>
      <c r="B20" s="1"/>
      <c r="C20" s="1"/>
      <c r="D20" s="1"/>
      <c r="E20" s="1"/>
      <c r="F20" s="1"/>
      <c r="G20" s="1"/>
      <c r="H20" s="1"/>
      <c r="I20" s="1"/>
      <c r="J20" s="1"/>
      <c r="K20" s="1"/>
      <c r="L20" s="1"/>
      <c r="M20" s="1"/>
      <c r="N20" s="1"/>
      <c r="O20" s="1"/>
      <c r="P20" s="1"/>
      <c r="Q20" s="1"/>
      <c r="R20" s="1"/>
      <c r="S20" s="1"/>
      <c r="T20" s="1"/>
      <c r="U20" s="1"/>
      <c r="V20" s="1"/>
    </row>
    <row r="21" spans="1:22">
      <c r="A21" s="1"/>
      <c r="B21" s="1"/>
      <c r="C21" s="1"/>
      <c r="D21" s="1"/>
      <c r="E21" s="1"/>
      <c r="F21" s="1"/>
      <c r="G21" s="1"/>
      <c r="H21" s="1"/>
      <c r="I21" s="1"/>
      <c r="J21" s="1"/>
      <c r="K21" s="1"/>
      <c r="L21" s="1"/>
      <c r="M21" s="1"/>
      <c r="N21" s="1"/>
      <c r="O21" s="1"/>
      <c r="P21" s="1"/>
      <c r="Q21" s="1"/>
      <c r="R21" s="1"/>
      <c r="S21" s="1"/>
      <c r="T21" s="1"/>
      <c r="U21" s="1"/>
      <c r="V21" s="1"/>
    </row>
    <row r="22" spans="1:22">
      <c r="A22" s="1"/>
      <c r="B22" s="1"/>
      <c r="C22" s="1"/>
      <c r="D22" s="1"/>
      <c r="E22" s="1"/>
      <c r="F22" s="1"/>
      <c r="G22" s="1"/>
      <c r="H22" s="1"/>
      <c r="I22" s="1"/>
      <c r="J22" s="1"/>
      <c r="K22" s="1"/>
      <c r="L22" s="1"/>
      <c r="M22" s="1"/>
      <c r="N22" s="1"/>
      <c r="O22" s="1"/>
      <c r="P22" s="1"/>
      <c r="Q22" s="1"/>
      <c r="R22" s="1"/>
      <c r="S22" s="1"/>
      <c r="T22" s="1"/>
      <c r="U22" s="1"/>
      <c r="V22" s="1"/>
    </row>
    <row r="23" spans="1:22">
      <c r="A23" s="1"/>
      <c r="B23" s="1"/>
      <c r="C23" s="1"/>
      <c r="D23" s="1"/>
      <c r="E23" s="1"/>
      <c r="F23" s="1"/>
      <c r="G23" s="1"/>
      <c r="H23" s="1"/>
      <c r="I23" s="1"/>
      <c r="J23" s="1"/>
      <c r="K23" s="1"/>
      <c r="L23" s="1"/>
      <c r="M23" s="1"/>
      <c r="N23" s="1"/>
      <c r="O23" s="1"/>
      <c r="P23" s="1"/>
      <c r="Q23" s="1"/>
      <c r="R23" s="1"/>
      <c r="S23" s="1"/>
      <c r="T23" s="1"/>
      <c r="U23" s="1"/>
      <c r="V23" s="1"/>
    </row>
    <row r="24" spans="1:22">
      <c r="A24" s="1"/>
      <c r="B24" s="1"/>
      <c r="C24" s="1"/>
      <c r="D24" s="1"/>
      <c r="E24" s="1"/>
      <c r="F24" s="1"/>
      <c r="G24" s="1"/>
      <c r="H24" s="1"/>
      <c r="I24" s="1"/>
      <c r="J24" s="1"/>
      <c r="K24" s="1"/>
      <c r="L24" s="1"/>
      <c r="M24" s="1"/>
      <c r="N24" s="1"/>
      <c r="O24" s="1"/>
      <c r="P24" s="1"/>
      <c r="Q24" s="1"/>
      <c r="R24" s="1"/>
      <c r="S24" s="1"/>
      <c r="T24" s="1"/>
      <c r="U24" s="1"/>
      <c r="V24" s="1"/>
    </row>
    <row r="25" spans="1:22">
      <c r="A25" s="1"/>
      <c r="B25" s="1"/>
      <c r="C25" s="1"/>
      <c r="D25" s="1"/>
      <c r="E25" s="1"/>
      <c r="F25" s="1"/>
      <c r="G25" s="1"/>
      <c r="H25" s="1"/>
      <c r="I25" s="1"/>
      <c r="J25" s="1"/>
      <c r="K25" s="1"/>
      <c r="L25" s="1"/>
      <c r="M25" s="1"/>
      <c r="N25" s="1"/>
      <c r="O25" s="1"/>
      <c r="P25" s="1"/>
      <c r="Q25" s="1"/>
      <c r="R25" s="1"/>
      <c r="S25" s="1"/>
      <c r="T25" s="1"/>
      <c r="U25" s="1"/>
      <c r="V25" s="1"/>
    </row>
    <row r="26" spans="1:22">
      <c r="A26" s="1"/>
      <c r="B26" s="1"/>
      <c r="C26" s="1"/>
      <c r="D26" s="1"/>
      <c r="E26" s="1"/>
      <c r="F26" s="1"/>
      <c r="G26" s="1"/>
      <c r="H26" s="1"/>
      <c r="I26" s="1"/>
      <c r="J26" s="1"/>
      <c r="K26" s="1"/>
      <c r="L26" s="1"/>
      <c r="M26" s="1"/>
      <c r="N26" s="1"/>
      <c r="O26" s="1"/>
      <c r="P26" s="1"/>
      <c r="Q26" s="1"/>
      <c r="R26" s="1"/>
      <c r="S26" s="1"/>
      <c r="T26" s="1"/>
      <c r="U26" s="1"/>
      <c r="V26" s="1"/>
    </row>
    <row r="27" spans="1:22">
      <c r="A27" s="1"/>
      <c r="B27" s="1"/>
      <c r="C27" s="1"/>
      <c r="D27" s="1"/>
      <c r="E27" s="1"/>
      <c r="F27" s="1"/>
      <c r="G27" s="1"/>
      <c r="H27" s="1"/>
      <c r="I27" s="1"/>
      <c r="J27" s="1"/>
      <c r="K27" s="1"/>
      <c r="L27" s="1"/>
      <c r="M27" s="1"/>
      <c r="N27" s="1"/>
      <c r="O27" s="1"/>
      <c r="P27" s="1"/>
      <c r="Q27" s="1"/>
      <c r="R27" s="1"/>
      <c r="S27" s="1"/>
      <c r="T27" s="1"/>
      <c r="U27" s="1"/>
      <c r="V27" s="1"/>
    </row>
    <row r="28" spans="1:22">
      <c r="A28" s="1"/>
      <c r="B28" s="1"/>
      <c r="C28" s="1"/>
      <c r="D28" s="1"/>
      <c r="E28" s="1"/>
      <c r="F28" s="1"/>
      <c r="G28" s="1"/>
      <c r="H28" s="1"/>
      <c r="I28" s="1"/>
      <c r="J28" s="1"/>
      <c r="K28" s="1"/>
      <c r="L28" s="1"/>
      <c r="M28" s="1"/>
      <c r="N28" s="1"/>
      <c r="O28" s="1"/>
      <c r="P28" s="1"/>
      <c r="Q28" s="1"/>
      <c r="R28" s="1"/>
      <c r="S28" s="1"/>
      <c r="T28" s="1"/>
      <c r="U28" s="1"/>
      <c r="V28" s="1"/>
    </row>
    <row r="29" spans="1:22">
      <c r="A29" s="1"/>
      <c r="B29" s="1"/>
      <c r="C29" s="1"/>
      <c r="D29" s="1"/>
      <c r="E29" s="1"/>
      <c r="F29" s="1"/>
      <c r="G29" s="1"/>
      <c r="H29" s="1"/>
      <c r="I29" s="1"/>
      <c r="J29" s="1"/>
      <c r="K29" s="1"/>
      <c r="L29" s="1"/>
      <c r="M29" s="1"/>
      <c r="N29" s="1"/>
      <c r="O29" s="1"/>
      <c r="P29" s="1"/>
      <c r="Q29" s="1"/>
      <c r="R29" s="1"/>
      <c r="S29" s="1"/>
      <c r="T29" s="1"/>
      <c r="U29" s="1"/>
      <c r="V29" s="1"/>
    </row>
    <row r="30" spans="1:22">
      <c r="A30" s="1"/>
      <c r="B30" s="1"/>
      <c r="C30" s="1"/>
      <c r="D30" s="1"/>
      <c r="E30" s="1"/>
      <c r="F30" s="1"/>
      <c r="G30" s="1"/>
      <c r="H30" s="1"/>
      <c r="I30" s="1"/>
      <c r="J30" s="1"/>
      <c r="K30" s="1"/>
      <c r="L30" s="1"/>
      <c r="M30" s="1"/>
      <c r="N30" s="1"/>
      <c r="O30" s="1"/>
      <c r="P30" s="1"/>
      <c r="Q30" s="1"/>
      <c r="R30" s="1"/>
      <c r="S30" s="1"/>
      <c r="T30" s="1"/>
      <c r="U30" s="1"/>
      <c r="V30" s="1"/>
    </row>
    <row r="31" spans="1:22">
      <c r="A31" s="1"/>
      <c r="B31" s="1"/>
      <c r="C31" s="1"/>
      <c r="D31" s="1"/>
      <c r="E31" s="1"/>
      <c r="F31" s="1"/>
      <c r="G31" s="1"/>
      <c r="H31" s="1"/>
      <c r="I31" s="1"/>
      <c r="J31" s="1"/>
      <c r="K31" s="1"/>
      <c r="L31" s="1"/>
      <c r="M31" s="1"/>
      <c r="N31" s="1"/>
      <c r="O31" s="1"/>
      <c r="P31" s="1"/>
      <c r="Q31" s="1"/>
      <c r="R31" s="1"/>
      <c r="S31" s="1"/>
      <c r="T31" s="1"/>
      <c r="U31" s="1"/>
      <c r="V31" s="1"/>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row r="35" spans="1:22">
      <c r="A35" s="1"/>
      <c r="B35" s="1"/>
      <c r="C35" s="1"/>
      <c r="D35" s="1"/>
      <c r="E35" s="1"/>
      <c r="F35" s="1"/>
      <c r="G35" s="1"/>
      <c r="H35" s="1"/>
      <c r="I35" s="1"/>
      <c r="J35" s="1"/>
      <c r="K35" s="1"/>
      <c r="L35" s="1"/>
      <c r="M35" s="1"/>
      <c r="N35" s="1"/>
      <c r="O35" s="1"/>
      <c r="P35" s="1"/>
      <c r="Q35" s="1"/>
      <c r="R35" s="1"/>
      <c r="S35" s="1"/>
      <c r="T35" s="1"/>
      <c r="U35" s="1"/>
      <c r="V35" s="1"/>
    </row>
    <row r="36" spans="1:22">
      <c r="A36" s="1"/>
      <c r="B36" s="1"/>
      <c r="C36" s="1"/>
      <c r="D36" s="1"/>
      <c r="E36" s="1"/>
      <c r="F36" s="1"/>
      <c r="G36" s="1"/>
      <c r="H36" s="1"/>
      <c r="I36" s="1"/>
      <c r="J36" s="1"/>
      <c r="K36" s="1"/>
      <c r="L36" s="1"/>
      <c r="M36" s="1"/>
      <c r="N36" s="1"/>
      <c r="O36" s="1"/>
      <c r="P36" s="1"/>
      <c r="Q36" s="1"/>
      <c r="R36" s="1"/>
      <c r="S36" s="1"/>
      <c r="T36" s="1"/>
      <c r="U36" s="1"/>
      <c r="V36" s="1"/>
    </row>
    <row r="37" spans="1:22">
      <c r="A37" s="1"/>
      <c r="B37" s="1"/>
      <c r="C37" s="1"/>
      <c r="D37" s="1"/>
      <c r="E37" s="1"/>
      <c r="F37" s="1"/>
      <c r="G37" s="1"/>
      <c r="H37" s="1"/>
      <c r="I37" s="1"/>
      <c r="J37" s="1"/>
      <c r="K37" s="1"/>
      <c r="L37" s="1"/>
      <c r="M37" s="1"/>
      <c r="N37" s="1"/>
      <c r="O37" s="1"/>
      <c r="P37" s="1"/>
      <c r="Q37" s="1"/>
      <c r="R37" s="1"/>
      <c r="S37" s="1"/>
      <c r="T37" s="1"/>
      <c r="U37" s="1"/>
      <c r="V37" s="1"/>
    </row>
    <row r="38" spans="1:22">
      <c r="A38" s="1"/>
      <c r="B38" s="1"/>
      <c r="C38" s="1"/>
      <c r="D38" s="1"/>
      <c r="E38" s="1"/>
      <c r="F38" s="1"/>
      <c r="G38" s="1"/>
      <c r="H38" s="1"/>
      <c r="I38" s="1"/>
      <c r="J38" s="1"/>
      <c r="K38" s="1"/>
      <c r="L38" s="1"/>
      <c r="M38" s="1"/>
      <c r="N38" s="1"/>
      <c r="O38" s="1"/>
      <c r="P38" s="1"/>
      <c r="Q38" s="1"/>
      <c r="R38" s="1"/>
      <c r="S38" s="1"/>
      <c r="T38" s="1"/>
      <c r="U38" s="1"/>
      <c r="V38" s="1"/>
    </row>
    <row r="39" spans="1:22">
      <c r="A39" s="1"/>
      <c r="B39" s="1"/>
      <c r="C39" s="1"/>
      <c r="D39" s="1"/>
      <c r="E39" s="1"/>
      <c r="F39" s="1"/>
      <c r="G39" s="1"/>
      <c r="H39" s="1"/>
      <c r="I39" s="1"/>
      <c r="J39" s="1"/>
      <c r="K39" s="1"/>
      <c r="L39" s="1"/>
      <c r="M39" s="1"/>
      <c r="N39" s="1"/>
      <c r="O39" s="1"/>
      <c r="P39" s="1"/>
      <c r="Q39" s="1"/>
      <c r="R39" s="1"/>
      <c r="S39" s="1"/>
      <c r="T39" s="1"/>
      <c r="U39" s="1"/>
      <c r="V39" s="1"/>
    </row>
    <row r="40" spans="1:22">
      <c r="A40" s="1"/>
      <c r="B40" s="1"/>
      <c r="C40" s="1"/>
      <c r="D40" s="1"/>
      <c r="E40" s="1"/>
      <c r="F40" s="1"/>
      <c r="G40" s="1"/>
      <c r="H40" s="1"/>
      <c r="I40" s="1"/>
      <c r="J40" s="1"/>
      <c r="K40" s="1"/>
      <c r="L40" s="1"/>
      <c r="M40" s="1"/>
      <c r="N40" s="1"/>
      <c r="O40" s="1"/>
      <c r="P40" s="1"/>
      <c r="Q40" s="1"/>
      <c r="R40" s="1"/>
      <c r="S40" s="1"/>
      <c r="T40" s="1"/>
      <c r="U40" s="1"/>
      <c r="V40" s="1"/>
    </row>
    <row r="41" spans="1:22">
      <c r="A41" s="1"/>
      <c r="B41" s="1"/>
      <c r="C41" s="1"/>
      <c r="D41" s="1"/>
      <c r="E41" s="1"/>
      <c r="F41" s="1"/>
      <c r="G41" s="1"/>
      <c r="H41" s="1"/>
      <c r="I41" s="1"/>
      <c r="J41" s="1"/>
      <c r="K41" s="1"/>
      <c r="L41" s="1"/>
      <c r="M41" s="1"/>
      <c r="N41" s="1"/>
      <c r="O41" s="1"/>
      <c r="P41" s="1"/>
      <c r="Q41" s="1"/>
      <c r="R41" s="1"/>
      <c r="S41" s="1"/>
      <c r="T41" s="1"/>
      <c r="U41" s="1"/>
      <c r="V41" s="1"/>
    </row>
    <row r="42" spans="1:22">
      <c r="A42" s="1"/>
      <c r="B42" s="1"/>
      <c r="C42" s="1"/>
      <c r="D42" s="1"/>
      <c r="E42" s="1"/>
      <c r="F42" s="1"/>
      <c r="G42" s="1"/>
      <c r="H42" s="1"/>
      <c r="I42" s="1"/>
      <c r="J42" s="1"/>
      <c r="K42" s="1"/>
      <c r="L42" s="1"/>
      <c r="M42" s="1"/>
      <c r="N42" s="1"/>
      <c r="O42" s="1"/>
      <c r="P42" s="1"/>
      <c r="Q42" s="1"/>
      <c r="R42" s="1"/>
      <c r="S42" s="1"/>
      <c r="T42" s="1"/>
      <c r="U42" s="1"/>
      <c r="V42" s="1"/>
    </row>
    <row r="43" spans="1:22">
      <c r="A43" s="1"/>
      <c r="B43" s="1"/>
      <c r="C43" s="1"/>
      <c r="D43" s="1"/>
      <c r="E43" s="1"/>
      <c r="F43" s="1"/>
      <c r="G43" s="1"/>
      <c r="H43" s="1"/>
      <c r="I43" s="1"/>
      <c r="J43" s="1"/>
      <c r="K43" s="1"/>
      <c r="L43" s="1"/>
      <c r="M43" s="1"/>
      <c r="N43" s="1"/>
      <c r="O43" s="1"/>
      <c r="P43" s="1"/>
      <c r="Q43" s="1"/>
      <c r="R43" s="1"/>
      <c r="S43" s="1"/>
      <c r="T43" s="1"/>
      <c r="U43" s="1"/>
      <c r="V43" s="1"/>
    </row>
    <row r="44" spans="1:22">
      <c r="A44" s="1"/>
      <c r="B44" s="1"/>
      <c r="C44" s="1"/>
      <c r="D44" s="1"/>
      <c r="E44" s="1"/>
      <c r="F44" s="1"/>
      <c r="G44" s="1"/>
      <c r="H44" s="1"/>
      <c r="I44" s="1"/>
      <c r="J44" s="1"/>
      <c r="K44" s="1"/>
      <c r="L44" s="1"/>
      <c r="M44" s="1"/>
      <c r="N44" s="1"/>
      <c r="O44" s="1"/>
      <c r="P44" s="1"/>
      <c r="Q44" s="1"/>
      <c r="R44" s="1"/>
      <c r="S44" s="1"/>
      <c r="T44" s="1"/>
      <c r="U44" s="1"/>
      <c r="V44" s="1"/>
    </row>
    <row r="45" spans="1:22">
      <c r="A45" s="1"/>
      <c r="B45" s="1"/>
      <c r="C45" s="1"/>
      <c r="D45" s="1"/>
      <c r="E45" s="1"/>
      <c r="F45" s="1"/>
      <c r="G45" s="1"/>
      <c r="H45" s="1"/>
      <c r="I45" s="1"/>
      <c r="J45" s="1"/>
      <c r="K45" s="1"/>
      <c r="L45" s="1"/>
      <c r="M45" s="1"/>
      <c r="N45" s="1"/>
      <c r="O45" s="1"/>
      <c r="P45" s="1"/>
      <c r="Q45" s="1"/>
      <c r="R45" s="1"/>
      <c r="S45" s="1"/>
      <c r="T45" s="1"/>
      <c r="U45" s="1"/>
      <c r="V45" s="1"/>
    </row>
    <row r="46" spans="1:22">
      <c r="A46" s="1"/>
      <c r="B46" s="1"/>
      <c r="C46" s="1"/>
      <c r="D46" s="1"/>
      <c r="E46" s="1"/>
      <c r="F46" s="1"/>
      <c r="G46" s="1"/>
      <c r="H46" s="1"/>
      <c r="I46" s="1"/>
      <c r="J46" s="1"/>
      <c r="K46" s="1"/>
      <c r="L46" s="1"/>
      <c r="M46" s="1"/>
      <c r="N46" s="1"/>
      <c r="O46" s="1"/>
      <c r="P46" s="1"/>
      <c r="Q46" s="1"/>
      <c r="R46" s="1"/>
      <c r="S46" s="1"/>
      <c r="T46" s="1"/>
      <c r="U46" s="1"/>
      <c r="V46" s="1"/>
    </row>
    <row r="47" spans="1:22">
      <c r="A47" s="1"/>
      <c r="B47" s="1"/>
      <c r="C47" s="1"/>
      <c r="D47" s="1"/>
      <c r="E47" s="1"/>
      <c r="F47" s="1"/>
      <c r="G47" s="1"/>
      <c r="H47" s="1"/>
      <c r="I47" s="1"/>
      <c r="J47" s="1"/>
      <c r="K47" s="1"/>
      <c r="L47" s="1"/>
      <c r="M47" s="1"/>
      <c r="N47" s="1"/>
      <c r="O47" s="1"/>
      <c r="P47" s="1"/>
      <c r="Q47" s="1"/>
      <c r="R47" s="1"/>
      <c r="S47" s="1"/>
      <c r="T47" s="1"/>
      <c r="U47" s="1"/>
      <c r="V47" s="1"/>
    </row>
    <row r="48" spans="1:22">
      <c r="A48" s="1"/>
      <c r="B48" s="1"/>
      <c r="C48" s="1"/>
      <c r="D48" s="1"/>
      <c r="E48" s="1"/>
      <c r="F48" s="1"/>
      <c r="G48" s="1"/>
      <c r="H48" s="1"/>
      <c r="I48" s="1"/>
      <c r="J48" s="1"/>
      <c r="K48" s="1"/>
      <c r="L48" s="1"/>
      <c r="M48" s="1"/>
      <c r="N48" s="1"/>
      <c r="O48" s="1"/>
      <c r="P48" s="1"/>
      <c r="Q48" s="1"/>
      <c r="R48" s="1"/>
      <c r="S48" s="1"/>
      <c r="T48" s="1"/>
      <c r="U48" s="1"/>
      <c r="V48" s="1"/>
    </row>
    <row r="49" spans="1:22">
      <c r="A49" s="1"/>
      <c r="B49" s="1"/>
      <c r="C49" s="1"/>
      <c r="D49" s="1"/>
      <c r="E49" s="1"/>
      <c r="F49" s="1"/>
      <c r="G49" s="1"/>
      <c r="H49" s="1"/>
      <c r="I49" s="1"/>
      <c r="J49" s="1"/>
      <c r="K49" s="1"/>
      <c r="L49" s="1"/>
      <c r="M49" s="1"/>
      <c r="N49" s="1"/>
      <c r="O49" s="1"/>
      <c r="P49" s="1"/>
      <c r="Q49" s="1"/>
      <c r="R49" s="1"/>
      <c r="S49" s="1"/>
      <c r="T49" s="1"/>
      <c r="U49" s="1"/>
      <c r="V49" s="1"/>
    </row>
    <row r="50" spans="1:22">
      <c r="A50" s="1"/>
      <c r="B50" s="1"/>
      <c r="C50" s="1"/>
      <c r="D50" s="1"/>
      <c r="E50" s="1"/>
      <c r="F50" s="1"/>
      <c r="G50" s="1"/>
      <c r="H50" s="1"/>
      <c r="I50" s="1"/>
      <c r="J50" s="1"/>
      <c r="K50" s="1"/>
      <c r="L50" s="1"/>
      <c r="M50" s="1"/>
      <c r="N50" s="1"/>
      <c r="O50" s="1"/>
      <c r="P50" s="1"/>
      <c r="Q50" s="1"/>
      <c r="R50" s="1"/>
      <c r="S50" s="1"/>
      <c r="T50" s="1"/>
      <c r="U50" s="1"/>
      <c r="V50" s="1"/>
    </row>
    <row r="51" spans="1:22">
      <c r="A51" s="1"/>
      <c r="B51" s="1"/>
      <c r="C51" s="1"/>
      <c r="D51" s="1"/>
      <c r="E51" s="1"/>
      <c r="F51" s="1"/>
      <c r="G51" s="1"/>
      <c r="H51" s="1"/>
      <c r="I51" s="1"/>
      <c r="J51" s="1"/>
      <c r="K51" s="1"/>
      <c r="L51" s="1"/>
      <c r="M51" s="1"/>
      <c r="N51" s="1"/>
      <c r="O51" s="1"/>
      <c r="P51" s="1"/>
      <c r="Q51" s="1"/>
      <c r="R51" s="1"/>
      <c r="S51" s="1"/>
      <c r="T51" s="1"/>
      <c r="U51" s="1"/>
      <c r="V51" s="1"/>
    </row>
  </sheetData>
  <mergeCells count="1">
    <mergeCell ref="A1:O6"/>
  </mergeCells>
  <pageMargins left="0.75" right="0.75" top="1" bottom="1" header="0.5" footer="0.5"/>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skipper</dc:creator>
  <cp:lastModifiedBy>usama abdulllahi</cp:lastModifiedBy>
  <dcterms:created xsi:type="dcterms:W3CDTF">2025-12-10T16:41:00Z</dcterms:created>
  <dcterms:modified xsi:type="dcterms:W3CDTF">2026-01-17T11:32:34Z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